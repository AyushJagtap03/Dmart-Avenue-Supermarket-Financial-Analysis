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Jagtap\OneDrive\Documents\Projects\Financial Analysis Projects\"/>
    </mc:Choice>
  </mc:AlternateContent>
  <xr:revisionPtr revIDLastSave="0" documentId="13_ncr:1_{B2E20209-D3A4-4633-A86C-8DD44744274D}" xr6:coauthVersionLast="47" xr6:coauthVersionMax="47" xr10:uidLastSave="{00000000-0000-0000-0000-000000000000}"/>
  <bookViews>
    <workbookView xWindow="-110" yWindow="-110" windowWidth="19420" windowHeight="12220" tabRatio="793" firstSheet="5" xr2:uid="{CCB6D976-C85F-4E3C-BA03-D7E21B1F016C}"/>
  </bookViews>
  <sheets>
    <sheet name="Project Overview" sheetId="22" r:id="rId1"/>
    <sheet name="Balance Sheet" sheetId="3" r:id="rId2"/>
    <sheet name="Profit and loss account " sheetId="15" r:id="rId3"/>
    <sheet name="Cash flow statement " sheetId="14" r:id="rId4"/>
    <sheet name="Revenue &amp; Profitability" sheetId="16" r:id="rId5"/>
    <sheet name="Balance Sheet Analysis" sheetId="17" r:id="rId6"/>
    <sheet name="Cash Flow Analysis" sheetId="18" r:id="rId7"/>
    <sheet name="Working Capital Analysis" sheetId="19" r:id="rId8"/>
    <sheet name="Ratio Analysis" sheetId="13" r:id="rId9"/>
    <sheet name="Dashboard " sheetId="20" r:id="rId10"/>
    <sheet name="Dashboard Data Engine " sheetId="21" r:id="rId11"/>
  </sheets>
  <definedNames>
    <definedName name="ExternalData_1" localSheetId="1" hidden="1">'Balance Sheet'!$A$2:$D$55</definedName>
    <definedName name="ExternalData_1" localSheetId="3" hidden="1">'Cash flow statement '!$A$2:$C$48</definedName>
    <definedName name="ExternalData_1" localSheetId="2" hidden="1">'Profit and loss account '!$A$2:$C$39</definedName>
    <definedName name="ExternalData_2" localSheetId="3" hidden="1">'Cash flow statement '!$A$49:$C$55</definedName>
    <definedName name="_xlnm.Print_Area" localSheetId="1">'Balance Sheet'!$A$1:$D$55</definedName>
    <definedName name="_xlnm.Print_Area" localSheetId="5">'Balance Sheet Analysis'!$A$1:$N$24</definedName>
    <definedName name="_xlnm.Print_Area" localSheetId="6">'Cash Flow Analysis'!$B$1:$N$18</definedName>
    <definedName name="_xlnm.Print_Area" localSheetId="3">'Cash flow statement '!$A$1:$C$55</definedName>
    <definedName name="_xlnm.Print_Area" localSheetId="9">'Dashboard '!$B$1:$T$52</definedName>
    <definedName name="_xlnm.Print_Area" localSheetId="2">'Profit and loss account '!$A$1:$C$39</definedName>
    <definedName name="_xlnm.Print_Area" localSheetId="0">'Project Overview'!$A$1:$T$51</definedName>
    <definedName name="_xlnm.Print_Area" localSheetId="8">'Ratio Analysis'!$A$1:$H$28</definedName>
    <definedName name="_xlnm.Print_Area" localSheetId="4">'Revenue &amp; Profitability'!$A$1:$N$23</definedName>
    <definedName name="_xlnm.Print_Area" localSheetId="7">'Working Capital Analysis'!$A$1:$N$11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8" l="1"/>
  <c r="H16" i="20"/>
  <c r="H14" i="20"/>
  <c r="N12" i="20"/>
  <c r="R11" i="20"/>
  <c r="D2" i="21"/>
  <c r="I2" i="21" s="1"/>
  <c r="D3" i="21"/>
  <c r="D11" i="21"/>
  <c r="D14" i="21"/>
  <c r="C5" i="18"/>
  <c r="D5" i="18"/>
  <c r="C6" i="18"/>
  <c r="D6" i="18"/>
  <c r="C7" i="18"/>
  <c r="D7" i="18"/>
  <c r="C8" i="18"/>
  <c r="D8" i="18"/>
  <c r="E14" i="21"/>
  <c r="E3" i="21"/>
  <c r="E2" i="21"/>
  <c r="B11" i="20" s="1"/>
  <c r="E8" i="13"/>
  <c r="E7" i="18" l="1"/>
  <c r="E5" i="18"/>
  <c r="E6" i="18"/>
  <c r="D8" i="19"/>
  <c r="C8" i="19"/>
  <c r="D7" i="19"/>
  <c r="C7" i="19"/>
  <c r="D6" i="19"/>
  <c r="C6" i="19"/>
  <c r="D5" i="19"/>
  <c r="C5" i="19"/>
  <c r="D4" i="19"/>
  <c r="C4" i="19"/>
  <c r="F10" i="19"/>
  <c r="I5" i="17"/>
  <c r="H5" i="17"/>
  <c r="I4" i="17"/>
  <c r="H4" i="17"/>
  <c r="D10" i="17"/>
  <c r="E13" i="21" s="1"/>
  <c r="C10" i="17"/>
  <c r="D13" i="21" s="1"/>
  <c r="D9" i="17"/>
  <c r="E12" i="21" s="1"/>
  <c r="C9" i="17"/>
  <c r="D12" i="21" s="1"/>
  <c r="D8" i="17"/>
  <c r="D7" i="17"/>
  <c r="E10" i="21" s="1"/>
  <c r="C7" i="17"/>
  <c r="D10" i="21" s="1"/>
  <c r="D5" i="17"/>
  <c r="E9" i="21" s="1"/>
  <c r="C5" i="17"/>
  <c r="D9" i="21" s="1"/>
  <c r="D4" i="17"/>
  <c r="E8" i="21" s="1"/>
  <c r="C4" i="17"/>
  <c r="D8" i="21" s="1"/>
  <c r="E6" i="17"/>
  <c r="F6" i="17" s="1"/>
  <c r="E11" i="17"/>
  <c r="E26" i="13"/>
  <c r="D26" i="13"/>
  <c r="E17" i="13"/>
  <c r="N11" i="20" s="1"/>
  <c r="D17" i="13"/>
  <c r="D16" i="13"/>
  <c r="E16" i="13"/>
  <c r="E15" i="13"/>
  <c r="D15" i="13"/>
  <c r="D18" i="16"/>
  <c r="C18" i="16"/>
  <c r="D17" i="16"/>
  <c r="C17" i="16"/>
  <c r="D16" i="16"/>
  <c r="C16" i="16"/>
  <c r="D15" i="16"/>
  <c r="C15" i="16"/>
  <c r="D14" i="16"/>
  <c r="C14" i="16"/>
  <c r="E4" i="16"/>
  <c r="H4" i="16"/>
  <c r="I4" i="16"/>
  <c r="E5" i="16"/>
  <c r="F5" i="16" s="1"/>
  <c r="H5" i="16"/>
  <c r="D4" i="21" s="1"/>
  <c r="I5" i="16"/>
  <c r="E4" i="21" s="1"/>
  <c r="F11" i="20" s="1"/>
  <c r="E6" i="16"/>
  <c r="H6" i="16"/>
  <c r="D5" i="21" s="1"/>
  <c r="I6" i="16"/>
  <c r="E5" i="21" s="1"/>
  <c r="J11" i="20" s="1"/>
  <c r="E7" i="16"/>
  <c r="F7" i="16" s="1"/>
  <c r="E8" i="16"/>
  <c r="F8" i="16" s="1"/>
  <c r="E9" i="16"/>
  <c r="F9" i="16" s="1"/>
  <c r="E10" i="16"/>
  <c r="F10" i="16" s="1"/>
  <c r="E19" i="16"/>
  <c r="F19" i="16" s="1"/>
  <c r="D8" i="13"/>
  <c r="D9" i="13"/>
  <c r="E9" i="13"/>
  <c r="D10" i="13"/>
  <c r="E10" i="13"/>
  <c r="D12" i="13"/>
  <c r="E12" i="13"/>
  <c r="D19" i="13"/>
  <c r="E19" i="13"/>
  <c r="D20" i="13"/>
  <c r="E20" i="13"/>
  <c r="D21" i="13"/>
  <c r="E21" i="13"/>
  <c r="D22" i="13"/>
  <c r="E22" i="13"/>
  <c r="D24" i="13"/>
  <c r="E24" i="13"/>
  <c r="D25" i="13"/>
  <c r="E25" i="13"/>
  <c r="F15" i="21" l="1"/>
  <c r="R12" i="20" s="1"/>
  <c r="F11" i="17"/>
  <c r="F14" i="21"/>
  <c r="E8" i="17"/>
  <c r="E11" i="21"/>
  <c r="F6" i="16"/>
  <c r="F3" i="21"/>
  <c r="F4" i="16"/>
  <c r="F2" i="21"/>
  <c r="B12" i="20" s="1"/>
  <c r="E6" i="19"/>
  <c r="F6" i="19" s="1"/>
  <c r="E5" i="19"/>
  <c r="F5" i="19" s="1"/>
  <c r="E7" i="19"/>
  <c r="F7" i="19" s="1"/>
  <c r="E8" i="19"/>
  <c r="F8" i="19" s="1"/>
  <c r="E4" i="19"/>
  <c r="F4" i="19" s="1"/>
  <c r="F8" i="18"/>
  <c r="F5" i="18"/>
  <c r="F6" i="18"/>
  <c r="J5" i="17"/>
  <c r="K5" i="17" s="1"/>
  <c r="J4" i="17"/>
  <c r="K4" i="17" s="1"/>
  <c r="E10" i="17"/>
  <c r="E7" i="17"/>
  <c r="E9" i="17"/>
  <c r="E5" i="17"/>
  <c r="E4" i="17"/>
  <c r="E18" i="16"/>
  <c r="F18" i="16" s="1"/>
  <c r="E14" i="16"/>
  <c r="F14" i="16" s="1"/>
  <c r="J6" i="16"/>
  <c r="J4" i="16"/>
  <c r="K4" i="16" s="1"/>
  <c r="H7" i="16"/>
  <c r="D6" i="21" s="1"/>
  <c r="E15" i="16"/>
  <c r="F15" i="16" s="1"/>
  <c r="E16" i="16"/>
  <c r="F16" i="16" s="1"/>
  <c r="H8" i="16"/>
  <c r="D7" i="21" s="1"/>
  <c r="J5" i="16"/>
  <c r="I7" i="16"/>
  <c r="E17" i="16"/>
  <c r="F17" i="16" s="1"/>
  <c r="I8" i="16"/>
  <c r="F10" i="13"/>
  <c r="G10" i="13" s="1"/>
  <c r="F15" i="13"/>
  <c r="G15" i="13" s="1"/>
  <c r="F25" i="13"/>
  <c r="G25" i="13" s="1"/>
  <c r="F12" i="13"/>
  <c r="G12" i="13" s="1"/>
  <c r="F21" i="13"/>
  <c r="G21" i="13" s="1"/>
  <c r="F20" i="13"/>
  <c r="G20" i="13" s="1"/>
  <c r="F16" i="13"/>
  <c r="G16" i="13" s="1"/>
  <c r="F26" i="13"/>
  <c r="G26" i="13" s="1"/>
  <c r="F17" i="13"/>
  <c r="G17" i="13" s="1"/>
  <c r="F19" i="13"/>
  <c r="G19" i="13" s="1"/>
  <c r="F9" i="13"/>
  <c r="G9" i="13" s="1"/>
  <c r="F24" i="13"/>
  <c r="G24" i="13" s="1"/>
  <c r="F22" i="13"/>
  <c r="G22" i="13" s="1"/>
  <c r="F10" i="17" l="1"/>
  <c r="F13" i="21"/>
  <c r="F9" i="17"/>
  <c r="F12" i="21"/>
  <c r="F8" i="17"/>
  <c r="F11" i="21"/>
  <c r="F7" i="17"/>
  <c r="F10" i="21"/>
  <c r="F5" i="17"/>
  <c r="F9" i="21"/>
  <c r="F4" i="17"/>
  <c r="F8" i="21"/>
  <c r="E14" i="13"/>
  <c r="E7" i="21"/>
  <c r="D14" i="13"/>
  <c r="E13" i="13"/>
  <c r="E6" i="21"/>
  <c r="D13" i="13"/>
  <c r="K6" i="16"/>
  <c r="F5" i="21"/>
  <c r="J12" i="20" s="1"/>
  <c r="K5" i="16"/>
  <c r="F4" i="21"/>
  <c r="F12" i="20" s="1"/>
  <c r="J7" i="16"/>
  <c r="J8" i="16"/>
  <c r="K8" i="16" l="1"/>
  <c r="F7" i="21"/>
  <c r="K7" i="16"/>
  <c r="F6" i="21"/>
  <c r="F14" i="13"/>
  <c r="G14" i="13" s="1"/>
  <c r="F13" i="13"/>
  <c r="G13" i="13" s="1"/>
  <c r="F8" i="13" l="1"/>
  <c r="G8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B040D9-4171-4AF6-8B62-6F7D4E92B7B7}" keepAlive="1" name="Query - Cash flow statement" description="Connection to the 'Cash flow statement' query in the workbook." type="5" refreshedVersion="8" background="1" saveData="1">
    <dbPr connection="Provider=Microsoft.Mashup.OleDb.1;Data Source=$Workbook$;Location=&quot;Cash flow statement&quot;;Extended Properties=&quot;&quot;" command="SELECT * FROM [Cash flow statement]"/>
  </connection>
  <connection id="2" xr16:uid="{3FE978BD-1396-4E03-AF8E-808F0FA1FA9D}" keepAlive="1" name="Query - Cash flow statement (2)" description="Connection to the 'Cash flow statement (2)' query in the workbook." type="5" refreshedVersion="8" background="1" saveData="1">
    <dbPr connection="Provider=Microsoft.Mashup.OleDb.1;Data Source=$Workbook$;Location=&quot;Cash flow statement (2)&quot;;Extended Properties=&quot;&quot;" command="SELECT * FROM [Cash flow statement (2)]"/>
  </connection>
  <connection id="3" xr16:uid="{D79C02FE-63FF-4634-AFD4-C0DC02D97AEA}" keepAlive="1" name="Query - Consolidated Balance Sheet" description="Connection to the 'Consolidated Balance Sheet' query in the workbook." type="5" refreshedVersion="8" background="1" saveData="1">
    <dbPr connection="Provider=Microsoft.Mashup.OleDb.1;Data Source=$Workbook$;Location=&quot;Consolidated Balance Sheet&quot;;Extended Properties=&quot;&quot;" command="SELECT * FROM [Consolidated Balance Sheet]"/>
  </connection>
  <connection id="4" xr16:uid="{59B90F2A-7EDB-40F5-AF4B-921ADFF9B74E}" keepAlive="1" name="Query - Consolidated profit and loss account" description="Connection to the 'Consolidated profit and loss account' query in the workbook." type="5" refreshedVersion="8" background="1" saveData="1">
    <dbPr connection="Provider=Microsoft.Mashup.OleDb.1;Data Source=$Workbook$;Location=&quot;Consolidated profit and loss account&quot;;Extended Properties=&quot;&quot;" command="SELECT * FROM [Consolidated profit and loss account]"/>
  </connection>
  <connection id="5" xr16:uid="{6B2B6090-063B-4424-977C-5B6714BE8B3D}" keepAlive="1" name="Query - Consolidated profit and loss account (2)" description="Connection to the 'Consolidated profit and loss account (2)' query in the workbook." type="5" refreshedVersion="8" background="1" saveData="1">
    <dbPr connection="Provider=Microsoft.Mashup.OleDb.1;Data Source=$Workbook$;Location=&quot;Consolidated profit and loss account (2)&quot;;Extended Properties=&quot;&quot;" command="SELECT * FROM [Consolidated profit and loss account (2)]"/>
  </connection>
  <connection id="6" xr16:uid="{02EBB360-9063-4B93-8DAE-55585560246C}" keepAlive="1" name="Query - Table738 (Page 161)" description="Connection to the 'Table738 (Page 161)' query in the workbook." type="5" refreshedVersion="8" background="1" saveData="1">
    <dbPr connection="Provider=Microsoft.Mashup.OleDb.1;Data Source=$Workbook$;Location=&quot;Table738 (Page 161)&quot;;Extended Properties=&quot;&quot;" command="SELECT * FROM [Table738 (Page 161)]"/>
  </connection>
  <connection id="7" xr16:uid="{CE4526A3-D648-4744-88FE-A7E3BF1AB2F3}" keepAlive="1" name="Query - Table738 (Page 161) (2)" description="Connection to the 'Table738 (Page 161) (2)' query in the workbook." type="5" refreshedVersion="8" background="1" saveData="1">
    <dbPr connection="Provider=Microsoft.Mashup.OleDb.1;Data Source=$Workbook$;Location=&quot;Table738 (Page 161) (2)&quot;;Extended Properties=&quot;&quot;" command="SELECT * FROM [Table738 (Page 161) (2)]"/>
  </connection>
</connections>
</file>

<file path=xl/sharedStrings.xml><?xml version="1.0" encoding="utf-8"?>
<sst xmlns="http://schemas.openxmlformats.org/spreadsheetml/2006/main" count="922" uniqueCount="641">
  <si>
    <t>Assets</t>
  </si>
  <si>
    <t>Non-current assets</t>
  </si>
  <si>
    <t>(a)</t>
  </si>
  <si>
    <t>Property, plant and equipment</t>
  </si>
  <si>
    <t>7,770.46</t>
  </si>
  <si>
    <t>5,938.50</t>
  </si>
  <si>
    <t>(b)</t>
  </si>
  <si>
    <t>Capital work-in-progress</t>
  </si>
  <si>
    <t>1,129.34</t>
  </si>
  <si>
    <t>1,019.59</t>
  </si>
  <si>
    <t>(c)</t>
  </si>
  <si>
    <t>Right -of- use assets</t>
  </si>
  <si>
    <t>1,388.65</t>
  </si>
  <si>
    <t>960.24</t>
  </si>
  <si>
    <t>(d)</t>
  </si>
  <si>
    <t>Investment properties</t>
  </si>
  <si>
    <t>9.03</t>
  </si>
  <si>
    <t>9.57</t>
  </si>
  <si>
    <t>(e)</t>
  </si>
  <si>
    <t>Goodwill</t>
  </si>
  <si>
    <t>78.27</t>
  </si>
  <si>
    <t>(f)</t>
  </si>
  <si>
    <t>Intangible assets</t>
  </si>
  <si>
    <t>13.61</t>
  </si>
  <si>
    <t>22.22</t>
  </si>
  <si>
    <t>(g)</t>
  </si>
  <si>
    <t>Financial assets</t>
  </si>
  <si>
    <t>(i)</t>
  </si>
  <si>
    <t>0.01</t>
  </si>
  <si>
    <t>-</t>
  </si>
  <si>
    <t>1,262.70</t>
  </si>
  <si>
    <t>1,109.28</t>
  </si>
  <si>
    <t>(h)</t>
  </si>
  <si>
    <t>Income tax assets (net)</t>
  </si>
  <si>
    <t>2.28</t>
  </si>
  <si>
    <t>1.63</t>
  </si>
  <si>
    <t>Deferred tax assets (net)</t>
  </si>
  <si>
    <t>1.66</t>
  </si>
  <si>
    <t>0.92</t>
  </si>
  <si>
    <t>(j)</t>
  </si>
  <si>
    <t>Other non-current assets</t>
  </si>
  <si>
    <t>373.78</t>
  </si>
  <si>
    <t>454.62</t>
  </si>
  <si>
    <t>Total non-current assets</t>
  </si>
  <si>
    <t>12,029.79</t>
  </si>
  <si>
    <t>9,594.84</t>
  </si>
  <si>
    <t>Current assets</t>
  </si>
  <si>
    <t>Inventories</t>
  </si>
  <si>
    <t>2,742.66</t>
  </si>
  <si>
    <t>2,248.28</t>
  </si>
  <si>
    <t>5.93</t>
  </si>
  <si>
    <t>2.95</t>
  </si>
  <si>
    <t>95.12</t>
  </si>
  <si>
    <t>191.50</t>
  </si>
  <si>
    <t>203.46</t>
  </si>
  <si>
    <t>1,254.08</t>
  </si>
  <si>
    <t>127.46</t>
  </si>
  <si>
    <t>167.91</t>
  </si>
  <si>
    <t>Other current assets</t>
  </si>
  <si>
    <t>201.33</t>
  </si>
  <si>
    <t>152.83</t>
  </si>
  <si>
    <t>Total current assets</t>
  </si>
  <si>
    <t>3,442.85</t>
  </si>
  <si>
    <t>4,061.13</t>
  </si>
  <si>
    <t>Total assets</t>
  </si>
  <si>
    <t>15,472.64</t>
  </si>
  <si>
    <t>13,655.97</t>
  </si>
  <si>
    <t>Equity and liabilities</t>
  </si>
  <si>
    <t>Equity</t>
  </si>
  <si>
    <t>Equity share capital</t>
  </si>
  <si>
    <t>647.77</t>
  </si>
  <si>
    <t>Other equity</t>
  </si>
  <si>
    <t>13,029.87</t>
  </si>
  <si>
    <t>11,535.94</t>
  </si>
  <si>
    <t>Equity attributable to equity holders of the parent</t>
  </si>
  <si>
    <t>13,677.64</t>
  </si>
  <si>
    <t>12,183.71</t>
  </si>
  <si>
    <t>Non-controlling interest</t>
  </si>
  <si>
    <t>0.25</t>
  </si>
  <si>
    <t>0.40</t>
  </si>
  <si>
    <t>Total equity</t>
  </si>
  <si>
    <t>13,677.89</t>
  </si>
  <si>
    <t>12,184.11</t>
  </si>
  <si>
    <t>Liabilities</t>
  </si>
  <si>
    <t>Non-current liabilities</t>
  </si>
  <si>
    <t>Financial liabilities</t>
  </si>
  <si>
    <t>507.15</t>
  </si>
  <si>
    <t>312.01</t>
  </si>
  <si>
    <t>0.41</t>
  </si>
  <si>
    <t>0.44</t>
  </si>
  <si>
    <t>Provisions</t>
  </si>
  <si>
    <t>4.87</t>
  </si>
  <si>
    <t>2.45</t>
  </si>
  <si>
    <t>Deferred tax liabilities (net)</t>
  </si>
  <si>
    <t>64.03</t>
  </si>
  <si>
    <t>51.19</t>
  </si>
  <si>
    <t>Total non-current liabilities</t>
  </si>
  <si>
    <t>576.46</t>
  </si>
  <si>
    <t>366.09</t>
  </si>
  <si>
    <t>Current liabilities</t>
  </si>
  <si>
    <t>139.79</t>
  </si>
  <si>
    <t>80.70</t>
  </si>
  <si>
    <t>Micro and small enterprises</t>
  </si>
  <si>
    <t>32.39</t>
  </si>
  <si>
    <t>21.95</t>
  </si>
  <si>
    <t>Other than micro and small enterprises</t>
  </si>
  <si>
    <t>556.81</t>
  </si>
  <si>
    <t>556.18</t>
  </si>
  <si>
    <t>282.92</t>
  </si>
  <si>
    <t>269.78</t>
  </si>
  <si>
    <t>Current tax liabilities (Net)</t>
  </si>
  <si>
    <t>111.57</t>
  </si>
  <si>
    <t>112.66</t>
  </si>
  <si>
    <t>Other current liabilities</t>
  </si>
  <si>
    <t>58.37</t>
  </si>
  <si>
    <t>40.73</t>
  </si>
  <si>
    <t>36.44</t>
  </si>
  <si>
    <t>23.77</t>
  </si>
  <si>
    <t>Total current liabilities</t>
  </si>
  <si>
    <t>1,218.29</t>
  </si>
  <si>
    <t>1,105.77</t>
  </si>
  <si>
    <t>Total equity and liabilities</t>
  </si>
  <si>
    <t>31st March, 2022</t>
  </si>
  <si>
    <t>31st March, 2021</t>
  </si>
  <si>
    <t>(i)  Investments</t>
  </si>
  <si>
    <t>(ii) Other non-current financial assets</t>
  </si>
  <si>
    <t>(i) Investments</t>
  </si>
  <si>
    <t>(ia) Lease liability</t>
  </si>
  <si>
    <t>(ii) Other non-current financial liabilities</t>
  </si>
  <si>
    <t>(ii) Trade payables due to :</t>
  </si>
  <si>
    <t>(iii) Other current financial liabilities</t>
  </si>
  <si>
    <t>For the year ended</t>
  </si>
  <si>
    <t>Income</t>
  </si>
  <si>
    <t>Revenue from operations</t>
  </si>
  <si>
    <t>30,976.27</t>
  </si>
  <si>
    <t>24,143.06</t>
  </si>
  <si>
    <t>Other income</t>
  </si>
  <si>
    <t>117.49</t>
  </si>
  <si>
    <t>196.21</t>
  </si>
  <si>
    <t>Total income</t>
  </si>
  <si>
    <t>31,093.76</t>
  </si>
  <si>
    <t>24,339.27</t>
  </si>
  <si>
    <t>Expenses</t>
  </si>
  <si>
    <t>Purchase of stock-in-trade</t>
  </si>
  <si>
    <t>26,891.77</t>
  </si>
  <si>
    <t>20,855.56</t>
  </si>
  <si>
    <t>Changes in inventories of stock-in-trade</t>
  </si>
  <si>
    <t>(494.38)</t>
  </si>
  <si>
    <t>(300.88)</t>
  </si>
  <si>
    <t>Employee benefits expenses</t>
  </si>
  <si>
    <t>616.21</t>
  </si>
  <si>
    <t>536.57</t>
  </si>
  <si>
    <t>Finance costs</t>
  </si>
  <si>
    <t>53.79</t>
  </si>
  <si>
    <t>41.65</t>
  </si>
  <si>
    <t>Depreciation and amortisation expense</t>
  </si>
  <si>
    <t>498.08</t>
  </si>
  <si>
    <t>414.16</t>
  </si>
  <si>
    <t>Other expenses</t>
  </si>
  <si>
    <t>1,464.17</t>
  </si>
  <si>
    <t>1,308.76</t>
  </si>
  <si>
    <t>Total Expenses</t>
  </si>
  <si>
    <t>29,029.64</t>
  </si>
  <si>
    <t>22,855.82</t>
  </si>
  <si>
    <t>2,064.12</t>
  </si>
  <si>
    <t>1,483.45</t>
  </si>
  <si>
    <t>Current tax</t>
  </si>
  <si>
    <t>546.33</t>
  </si>
  <si>
    <t>394.69</t>
  </si>
  <si>
    <t>Deferred tax charge</t>
  </si>
  <si>
    <t>12.10</t>
  </si>
  <si>
    <t>3.17</t>
  </si>
  <si>
    <t>Adjustment of tax related to earlier years</t>
  </si>
  <si>
    <t>13.29</t>
  </si>
  <si>
    <t>(13.84)</t>
  </si>
  <si>
    <t>Total Tax expenses</t>
  </si>
  <si>
    <t>571.72</t>
  </si>
  <si>
    <t>384.02</t>
  </si>
  <si>
    <t>1,492.40</t>
  </si>
  <si>
    <t>1,099.43</t>
  </si>
  <si>
    <t>Items that will not be reclassified to profit or loss</t>
  </si>
  <si>
    <t>Re-measurements loss on defined benefit plans</t>
  </si>
  <si>
    <t>(6.14)</t>
  </si>
  <si>
    <t>(2.35)</t>
  </si>
  <si>
    <t>Less: Income tax effect</t>
  </si>
  <si>
    <t>1.11</t>
  </si>
  <si>
    <t>0.45</t>
  </si>
  <si>
    <t>(5.03)</t>
  </si>
  <si>
    <t>(1.90)</t>
  </si>
  <si>
    <t>Total comprehensive income for the year</t>
  </si>
  <si>
    <t>1,487.37</t>
  </si>
  <si>
    <t>1,097.53</t>
  </si>
  <si>
    <t>Profit for the year</t>
  </si>
  <si>
    <t>Attributable to:</t>
  </si>
  <si>
    <t>Equity holders of the parent</t>
  </si>
  <si>
    <t>1,492.55</t>
  </si>
  <si>
    <t>1,099.49</t>
  </si>
  <si>
    <t>Non-controlling interests</t>
  </si>
  <si>
    <t>(0.15)</t>
  </si>
  <si>
    <t>(0.06)</t>
  </si>
  <si>
    <t>1,487.52</t>
  </si>
  <si>
    <t>1,097.59</t>
  </si>
  <si>
    <t>Basic</t>
  </si>
  <si>
    <t>23.04</t>
  </si>
  <si>
    <t>16.97</t>
  </si>
  <si>
    <t>Diluted</t>
  </si>
  <si>
    <t>22.86</t>
  </si>
  <si>
    <t>16.85</t>
  </si>
  <si>
    <t>Summary of significant accounting policies</t>
  </si>
  <si>
    <t>Profit before tax</t>
  </si>
  <si>
    <t>Tax Expense</t>
  </si>
  <si>
    <t>Net profit after tax</t>
  </si>
  <si>
    <t>Other Comprehensive Income</t>
  </si>
  <si>
    <t>Net other comprehensive income not to be reclassified to profit or loss in subsequent year</t>
  </si>
  <si>
    <t>Cash flow from operating activities:</t>
  </si>
  <si>
    <t>Adjustments for:</t>
  </si>
  <si>
    <t>Depreciation and amortisation expenses</t>
  </si>
  <si>
    <t>Finance cost</t>
  </si>
  <si>
    <t>Interest income</t>
  </si>
  <si>
    <t>(103.96)</t>
  </si>
  <si>
    <t>(178.13)</t>
  </si>
  <si>
    <t>Profit on sale of investments</t>
  </si>
  <si>
    <t>(3.66)</t>
  </si>
  <si>
    <t>(2.56)</t>
  </si>
  <si>
    <t>Expense on employee stock option scheme</t>
  </si>
  <si>
    <t>6.42</t>
  </si>
  <si>
    <t>6.38</t>
  </si>
  <si>
    <t>Rent income</t>
  </si>
  <si>
    <t>(3.55)</t>
  </si>
  <si>
    <t>(2.89)</t>
  </si>
  <si>
    <t>Loss on disposal of property, plant and equipment (net)</t>
  </si>
  <si>
    <t>3.85</t>
  </si>
  <si>
    <t>1.78</t>
  </si>
  <si>
    <t>450.97</t>
  </si>
  <si>
    <t>280.39</t>
  </si>
  <si>
    <t>Operating profit before working capital changes</t>
  </si>
  <si>
    <t>2,515.09</t>
  </si>
  <si>
    <t>1,763.84</t>
  </si>
  <si>
    <t>Increase in trade payables</t>
  </si>
  <si>
    <t>11.07</t>
  </si>
  <si>
    <t>144.68</t>
  </si>
  <si>
    <t>Increase in current provisions</t>
  </si>
  <si>
    <t>6.53</t>
  </si>
  <si>
    <t>6.24</t>
  </si>
  <si>
    <t>Increase/ (decrease) in other current financial liabilities</t>
  </si>
  <si>
    <t>(6.91)</t>
  </si>
  <si>
    <t>48.87</t>
  </si>
  <si>
    <t>Increase in other current liabilities</t>
  </si>
  <si>
    <t>17.64</t>
  </si>
  <si>
    <t>20.03</t>
  </si>
  <si>
    <t>Increase in non-current provisions</t>
  </si>
  <si>
    <t>2.42</t>
  </si>
  <si>
    <t>0.97</t>
  </si>
  <si>
    <t>Decrease in other non-current financial liabilities</t>
  </si>
  <si>
    <t>(0.03)</t>
  </si>
  <si>
    <t>Increase in trade receivables</t>
  </si>
  <si>
    <t>(23.31)</t>
  </si>
  <si>
    <t>(24.03)</t>
  </si>
  <si>
    <t>Increase in inventories</t>
  </si>
  <si>
    <t>(Increase)/ decrease in current investments</t>
  </si>
  <si>
    <t>(2.98)</t>
  </si>
  <si>
    <t>11.73</t>
  </si>
  <si>
    <t>Increase in other non-current financial assets</t>
  </si>
  <si>
    <t>(6.79)</t>
  </si>
  <si>
    <t>(15.26)</t>
  </si>
  <si>
    <t>(Increase)/ decrease in bank balances other than cash and cash equivalents</t>
  </si>
  <si>
    <t>0.62</t>
  </si>
  <si>
    <t>(2.07)</t>
  </si>
  <si>
    <t>Increase in other current assets</t>
  </si>
  <si>
    <t>(48.96)</t>
  </si>
  <si>
    <t>(4.79)</t>
  </si>
  <si>
    <t>Increase in other current financial assets</t>
  </si>
  <si>
    <t>(37.41)</t>
  </si>
  <si>
    <t>(12.59)</t>
  </si>
  <si>
    <t>(582.49)</t>
  </si>
  <si>
    <t>(127.13)</t>
  </si>
  <si>
    <t>Cash flow from operating activities</t>
  </si>
  <si>
    <t>1,932.60</t>
  </si>
  <si>
    <t>1,636.71</t>
  </si>
  <si>
    <t>Direct taxes paid (net of refunds)</t>
  </si>
  <si>
    <t>(560.25)</t>
  </si>
  <si>
    <t>(261.57)</t>
  </si>
  <si>
    <t>Net cash flow from operating activities</t>
  </si>
  <si>
    <t>1,372.35</t>
  </si>
  <si>
    <t>1,375.14</t>
  </si>
  <si>
    <t>Cash flow from investing activities:</t>
  </si>
  <si>
    <t>Proceeds from disposal of property, plant and equipment</t>
  </si>
  <si>
    <t>20.92</t>
  </si>
  <si>
    <t>1.88</t>
  </si>
  <si>
    <t>Realisation from Fixed Deposits of Qualified institutional placement proceeds</t>
  </si>
  <si>
    <t>1,050.00</t>
  </si>
  <si>
    <t>783.00</t>
  </si>
  <si>
    <t>Interest received</t>
  </si>
  <si>
    <t>42.80</t>
  </si>
  <si>
    <t>129.09</t>
  </si>
  <si>
    <t>Gain on sale of investments</t>
  </si>
  <si>
    <t>3.66</t>
  </si>
  <si>
    <t>2.56</t>
  </si>
  <si>
    <t>Rent income received</t>
  </si>
  <si>
    <t>3.55</t>
  </si>
  <si>
    <t>2.89</t>
  </si>
  <si>
    <t>Purchase of property, plant and equipment/ intangible assets/investment properties</t>
  </si>
  <si>
    <t>(2,410.42)</t>
  </si>
  <si>
    <t>(2,029.42)</t>
  </si>
  <si>
    <t>Net cash flow used in investing activities</t>
  </si>
  <si>
    <t>(1,289.49)</t>
  </si>
  <si>
    <t>(1,110.00)</t>
  </si>
  <si>
    <t>Cash flow from financing activities:</t>
  </si>
  <si>
    <t>Proceeds from short term borrowings</t>
  </si>
  <si>
    <t>248.00</t>
  </si>
  <si>
    <t>200.00</t>
  </si>
  <si>
    <t>Repayment of short term borrowings</t>
  </si>
  <si>
    <t>(248.00)</t>
  </si>
  <si>
    <t>(203.73)</t>
  </si>
  <si>
    <t>Repayment of non convertible debentures</t>
  </si>
  <si>
    <t>(34.00)</t>
  </si>
  <si>
    <t>Payment of principal portion of lease liability</t>
  </si>
  <si>
    <t>(125.45)</t>
  </si>
  <si>
    <t>(98.17)</t>
  </si>
  <si>
    <t>Interest paid on lease liability</t>
  </si>
  <si>
    <t>(52.23)</t>
  </si>
  <si>
    <t>(37.50)</t>
  </si>
  <si>
    <t>Interest paid</t>
  </si>
  <si>
    <t>(1.56)</t>
  </si>
  <si>
    <t>(6.10)</t>
  </si>
  <si>
    <r>
      <t xml:space="preserve">Statement of Consolidated Cash Flows
</t>
    </r>
    <r>
      <rPr>
        <b/>
        <sz val="11"/>
        <color theme="1"/>
        <rFont val="Calibri"/>
        <family val="2"/>
        <scheme val="minor"/>
      </rPr>
      <t>for the year ended 31st March, 2022</t>
    </r>
  </si>
  <si>
    <t>Metric</t>
  </si>
  <si>
    <t>FY2021</t>
  </si>
  <si>
    <t>FY2022</t>
  </si>
  <si>
    <t>Change %</t>
  </si>
  <si>
    <t>Revenue from Operations</t>
  </si>
  <si>
    <t>Other Income</t>
  </si>
  <si>
    <t>Total Income</t>
  </si>
  <si>
    <t>Profit Before Tax</t>
  </si>
  <si>
    <t>Profit After Tax</t>
  </si>
  <si>
    <t>PBT Margin</t>
  </si>
  <si>
    <t>PAT Margin</t>
  </si>
  <si>
    <t>Expense</t>
  </si>
  <si>
    <t>Purchase of Stock-in-Trade</t>
  </si>
  <si>
    <t>Employee Benefits Expense</t>
  </si>
  <si>
    <t>Finance Costs</t>
  </si>
  <si>
    <t>Depreciation &amp; Amortisation</t>
  </si>
  <si>
    <t>Other Expenses</t>
  </si>
  <si>
    <t>(ii)Trade receivables</t>
  </si>
  <si>
    <t>(iv) Cash and cash equivalents</t>
  </si>
  <si>
    <t>(v) Bank balances other than cash and cash equivalents</t>
  </si>
  <si>
    <t>(vi) Other current financial assets</t>
  </si>
  <si>
    <t>Cash flow used in financing activities</t>
  </si>
  <si>
    <t>(179.24)</t>
  </si>
  <si>
    <t>(179.50)</t>
  </si>
  <si>
    <t>Net increase/(decrease) in cash and cash equivalent</t>
  </si>
  <si>
    <t>(96.38)</t>
  </si>
  <si>
    <t>85.64</t>
  </si>
  <si>
    <t>Cash and cash equivalents at beginning of the year</t>
  </si>
  <si>
    <t>105.86</t>
  </si>
  <si>
    <t>Cash and cash equivalents at end of the year</t>
  </si>
  <si>
    <t>Cash and cash equivalents as per above comprises of the following</t>
  </si>
  <si>
    <t>Cash and cash equivalents (Refer Note:13)</t>
  </si>
  <si>
    <t>Balance as per statement of cash flows</t>
  </si>
  <si>
    <t>Ratio</t>
  </si>
  <si>
    <t>Formula</t>
  </si>
  <si>
    <t>Current Ratio</t>
  </si>
  <si>
    <t>Current Assets ÷ Current Liabilities</t>
  </si>
  <si>
    <t>Quick Ratio</t>
  </si>
  <si>
    <t>Cash Ratio</t>
  </si>
  <si>
    <t>Liquidity Ratios</t>
  </si>
  <si>
    <t>Profitability Ratios</t>
  </si>
  <si>
    <t>Gross Profit Margin</t>
  </si>
  <si>
    <t>PBT ÷ Revenue from Operations × 100</t>
  </si>
  <si>
    <t>PAT ÷ Revenue from Operations × 100</t>
  </si>
  <si>
    <t>ROA</t>
  </si>
  <si>
    <t>PAT ÷ Total Assets × 100</t>
  </si>
  <si>
    <t>ROE</t>
  </si>
  <si>
    <t>PAT ÷ Total Equity × 100</t>
  </si>
  <si>
    <t>ROCE</t>
  </si>
  <si>
    <t>EBIT ÷ Capital Employed × 100</t>
  </si>
  <si>
    <t>Inventory Turnover</t>
  </si>
  <si>
    <t>COGS ÷ Average Inventory</t>
  </si>
  <si>
    <t>Receivables Turnover</t>
  </si>
  <si>
    <t>Payables Turnover</t>
  </si>
  <si>
    <t>Purchases ÷ Average Trade Payables</t>
  </si>
  <si>
    <t>Asset Turnover</t>
  </si>
  <si>
    <t>Debt-to-Equity</t>
  </si>
  <si>
    <t>Debt Ratio</t>
  </si>
  <si>
    <t>Interest Coverage</t>
  </si>
  <si>
    <t>Total Debt ÷ Total Equity</t>
  </si>
  <si>
    <t>Total Debt ÷ Total Assets</t>
  </si>
  <si>
    <t>EBIT ÷ Finance Costs</t>
  </si>
  <si>
    <t>Earnings per equity share of Rs 10 each: (in Rs)</t>
  </si>
  <si>
    <t>Trend</t>
  </si>
  <si>
    <t>Ratio Analysis</t>
  </si>
  <si>
    <t>“Value for Customers.
Growth for a Better Tomorrow.”</t>
  </si>
  <si>
    <t>Consolidated Financial Statements | FY2021 vs FY2022</t>
  </si>
  <si>
    <t>▣  COMPANY
Avenue Supermarts Limited (DMart)</t>
  </si>
  <si>
    <t>▣  PERIOD
FY2021 – FY2022</t>
  </si>
  <si>
    <t>▥  SOURCE
Annual Report 2021-22</t>
  </si>
  <si>
    <t>▤  FIGURES &amp; FORMAT
Financial figures in ₹ Cr | Ratios in × | Margins &amp; Changes in %</t>
  </si>
  <si>
    <t>Interpretation</t>
  </si>
  <si>
    <t>01</t>
  </si>
  <si>
    <t>Measures short-term financial strength and ability to meet obligations</t>
  </si>
  <si>
    <t>Decline indicates a lower short-term liquidity cushion, though the ratio remains above 2×.</t>
  </si>
  <si>
    <t>(Current Assets − Inventory) ÷ Current Liabilities</t>
  </si>
  <si>
    <t>Significant decline indicates greater reliance on inventory to meet short-term liabilities.</t>
  </si>
  <si>
    <t>Cash &amp; Cash Equivalents ÷ Current Liabilities</t>
  </si>
  <si>
    <t>Lower cash coverage of current liabilities indicates a tighter immediate liquidity position.</t>
  </si>
  <si>
    <t>02</t>
  </si>
  <si>
    <t>Measures how effectively the company generates profit</t>
  </si>
  <si>
    <t>Gross Profit ÷ Revenue from Operations × 100</t>
  </si>
  <si>
    <t>Gross margin remained broadly stable, with a slight decline.</t>
  </si>
  <si>
    <t>Improved margin indicates stronger profit before tax relative to revenue.</t>
  </si>
  <si>
    <t>Improved margin indicates stronger bottom-line profitability.</t>
  </si>
  <si>
    <t>Higher ROA indicates greater profit generated relative to total assets.</t>
  </si>
  <si>
    <t>Higher ROE indicates improved returns generated on shareholders' equity.</t>
  </si>
  <si>
    <t>Higher ROCE indicates more efficient use of capital employed.</t>
  </si>
  <si>
    <t>03</t>
  </si>
  <si>
    <t>Efficiency Ratios</t>
  </si>
  <si>
    <t>Measures how effectively the company uses its assets and working capital</t>
  </si>
  <si>
    <t>Higher turnover indicates faster movement of inventory during the year.</t>
  </si>
  <si>
    <t>Revenue from Operations ÷ Average Trade Receivables</t>
  </si>
  <si>
    <t>Lower turnover indicates receivables increased faster relative to revenue, requiring monitoring.</t>
  </si>
  <si>
    <t>Higher turnover indicates purchases were higher relative to average trade payables.</t>
  </si>
  <si>
    <t>Revenue from Operations ÷ Average Total Assets</t>
  </si>
  <si>
    <t>Higher turnover indicates improved revenue generation relative to the asset base.</t>
  </si>
  <si>
    <t>04</t>
  </si>
  <si>
    <t>Solvency Ratios</t>
  </si>
  <si>
    <t>Measures long-term financial stability and risk</t>
  </si>
  <si>
    <t>Leverage increased, but the debt-to-equity ratio remained at a low level.</t>
  </si>
  <si>
    <t>Debt as a share of total assets increased, while overall leverage remained relatively low.</t>
  </si>
  <si>
    <t>Improved coverage indicates stronger EBIT coverage of finance costs.</t>
  </si>
  <si>
    <t>🎯  Key Takeaway</t>
  </si>
  <si>
    <t>DMart delivered improved profitability and efficiency in FY2022, while liquidity weakened and lease-inclusive leverage increased from a low base. Interest coverage remained strong.</t>
  </si>
  <si>
    <t>A Project by Ayush Nitin Jagtap  |  Financial Analysis using AI</t>
  </si>
  <si>
    <t>🤖  AI-Assisted Analysis
AI-Enabled Financial Analysis | ChatGPT + Microsoft Copilot</t>
  </si>
  <si>
    <t>Learn • Analyse • Grow     |     Revenue &amp; Profitability Analysis     |     A Project by Ayush Nitin Jagtap</t>
  </si>
  <si>
    <t>🤖 AI-Enabled Financial Analysis | ChatGPT + Microsoft Copilot</t>
  </si>
  <si>
    <t>KEY ANALYST TAKEAWAY</t>
  </si>
  <si>
    <t>Total expenses grew slightly slower than revenue.</t>
  </si>
  <si>
    <t>Other expenses grew slower than revenue.</t>
  </si>
  <si>
    <t>Depreciation increased but remained below revenue growth.</t>
  </si>
  <si>
    <t>Finance costs grew slightly faster than revenue.</t>
  </si>
  <si>
    <t>Employee costs grew slower than revenue.</t>
  </si>
  <si>
    <t>Purchases increased broadly in line with revenue.</t>
  </si>
  <si>
    <t>Expense Insight</t>
  </si>
  <si>
    <t>Expense Analysis</t>
  </si>
  <si>
    <t>Profitability Analysis</t>
  </si>
  <si>
    <t>Revenue Analysis</t>
  </si>
  <si>
    <t>Revenue &amp; Profitability Analysis</t>
  </si>
  <si>
    <t>Learn • Analyse • Grow     |     Balance Sheet Analysis     |     A Project by Ayush Nitin Jagtap</t>
  </si>
  <si>
    <t>DMart's balance sheet expanded in FY2022, with total assets and equity increasing. However, current assets and cash declined while current liabilities increased. The rise in inventory and trade receivables highlights working-capital areas requiring further analysis.</t>
  </si>
  <si>
    <t>Trade receivables increased 53.49%, highlighting a need to examine collection and working-capital dynamics.</t>
  </si>
  <si>
    <t>Evidence: Trade receivables increased 53.49%, highlighting a need to examine collection and working-capital dynamics.</t>
  </si>
  <si>
    <t>Receivables</t>
  </si>
  <si>
    <t>Inventories increased 21.99%, making inventory efficiency an important working-capital consideration.</t>
  </si>
  <si>
    <t>Evidence: Inventories increased 21.99%, making inventory efficiency an important working-capital consideration.</t>
  </si>
  <si>
    <t>Inventory</t>
  </si>
  <si>
    <t>Cash and cash equivalents declined 50.33%, materially lowering immediate liquidity.</t>
  </si>
  <si>
    <t>Evidence: Cash and cash equivalents declined 50.33%, materially lowering immediate liquidity.</t>
  </si>
  <si>
    <t>Cash Position</t>
  </si>
  <si>
    <t>Current assets fell 15.22% while current liabilities rose 10.18%, reducing the short-term cushion.</t>
  </si>
  <si>
    <t>Evidence: Current assets fell 15.22% while current liabilities rose 10.18%, reducing the short-term cushion.</t>
  </si>
  <si>
    <t>Liquidity</t>
  </si>
  <si>
    <t>Total liabilities increased 21.94%, growing faster than total assets and requiring closer review.</t>
  </si>
  <si>
    <t>Evidence: Total liabilities increased 21.94%, growing faster than total assets and requiring closer review.</t>
  </si>
  <si>
    <t>Liability Structure</t>
  </si>
  <si>
    <t>Assets &amp; Equity</t>
  </si>
  <si>
    <t>Analyst Interpretation</t>
  </si>
  <si>
    <t>Key Balance Sheet Findings</t>
  </si>
  <si>
    <t>Consolidated Financial Statements  |  FY2021 vs FY2022  |  Source: Annual Report 2021–22  |  Financial figures in ₹ Cr</t>
  </si>
  <si>
    <t>Cash declined materially, while inventory and receivables increased; working-capital composition changed significantly.</t>
  </si>
  <si>
    <t>Trade Receivables</t>
  </si>
  <si>
    <t>Current assets declined while current liabilities increased, reducing the short-term financial cushion.</t>
  </si>
  <si>
    <t>What the movement indicates</t>
  </si>
  <si>
    <t>Cash &amp; Cash Equivalents</t>
  </si>
  <si>
    <t>Current Liabilities</t>
  </si>
  <si>
    <t>Current Assets</t>
  </si>
  <si>
    <t>Total Liabilities</t>
  </si>
  <si>
    <t>Total Equity</t>
  </si>
  <si>
    <t>Total Assets</t>
  </si>
  <si>
    <t>Balance Sheet Insights</t>
  </si>
  <si>
    <t>Balance Sheet Analysis</t>
  </si>
  <si>
    <t>DMart</t>
  </si>
  <si>
    <t>Methodology: Original source formulas and source-cell references are preserved exactly. Change % display is formatted for readability without changing the original formulas.</t>
  </si>
  <si>
    <t>DMart maintained strong operating cash generation in FY2022 but deployed substantial cash toward investing activities. Consequently, the company experienced a net decrease in cash during the year. Overall, the cash-flow position was mixed, with healthy operating cash generation but significant cash deployment.</t>
  </si>
  <si>
    <t>Net cash changed from an increase of ₹85.64 Cr to a decrease of ₹96.38 Cr.</t>
  </si>
  <si>
    <t>Net Cash Movement</t>
  </si>
  <si>
    <t>Financing outflow remained broadly stable at ₹179.50 Cr and ₹179.24 Cr.</t>
  </si>
  <si>
    <t>Financing Cash Flow</t>
  </si>
  <si>
    <t>Investing outflow increased from ₹1,110.00 Cr to ₹1,289.49 Cr.</t>
  </si>
  <si>
    <t>Investing Cash Flow</t>
  </si>
  <si>
    <t>CFO remained broadly stable at ₹1,375.14 Cr in FY2021 and ₹1,372.35 Cr in FY2022.</t>
  </si>
  <si>
    <t>Operating Cash Flow</t>
  </si>
  <si>
    <t>Financial Analysis View</t>
  </si>
  <si>
    <t>Key Cash Flow Findings</t>
  </si>
  <si>
    <t>Consolidated Cash Flow Statement  |  FY2021 vs FY2022  |  Source: Annual Report 2021–22  |  Financial figures in ₹ Cr</t>
  </si>
  <si>
    <t>Net Increase/(Decrease) in Cash &amp; Cash Equivalents</t>
  </si>
  <si>
    <t>Net Cash Flow Used in Financing Activities</t>
  </si>
  <si>
    <t>Net Cash Flow Used in Investing Activities</t>
  </si>
  <si>
    <t>Net Cash Flow from Operating Activities</t>
  </si>
  <si>
    <t>Cash Flow Metric</t>
  </si>
  <si>
    <t>Cash Flow Summary Analysis</t>
  </si>
  <si>
    <t>Cash Flow Analysis</t>
  </si>
  <si>
    <r>
      <t xml:space="preserve">Consolidated Balance Sheet
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as at 31st March, 2022                                                   </t>
    </r>
    <r>
      <rPr>
        <i/>
        <sz val="10"/>
        <color theme="1"/>
        <rFont val="Calibri"/>
        <family val="2"/>
        <scheme val="minor"/>
      </rPr>
      <t>All figures are in Cr</t>
    </r>
  </si>
  <si>
    <r>
      <t xml:space="preserve">Statement of Consolidated Profit and Loss
</t>
    </r>
    <r>
      <rPr>
        <i/>
        <sz val="11"/>
        <color theme="1"/>
        <rFont val="Calibri"/>
        <family val="2"/>
        <scheme val="minor"/>
      </rPr>
      <t>for the year ended 31st March, 2022</t>
    </r>
  </si>
  <si>
    <t>DMart's working capital position weakened in FY2022, with net working capital declining by 24.73%. Inventory and trade receivables increased, while current assets and cash declined and current liabilities increased. This points to a tighter short-term financial cushion and highlights working-capital management as an area for further analysis.</t>
  </si>
  <si>
    <t>Consolidated Balance Sheet Data  |  FY2021 vs FY2022  |  Source: Annual Report 2021–22  |  Financial figures in ₹ Cr</t>
  </si>
  <si>
    <t xml:space="preserve">Net Working capital </t>
  </si>
  <si>
    <t>Net Working Capital Analysis</t>
  </si>
  <si>
    <t>Net working capital declined by 24.73%, indicating a weaker short-term financial cushion.</t>
  </si>
  <si>
    <t>Trade Payables</t>
  </si>
  <si>
    <t>Net Working Capital Interpretation</t>
  </si>
  <si>
    <t>• Inventory: +21.99% — higher funds tied up in stock.
• Trade Receivables: +53.49% — collection and working-capital efficiency merit attention.
• Trade Payables: +1.91% — broadly stable.
• Current Assets: −15.22% — lower short-term asset cushion.
• Current Liabilities: +10.18% — higher short-term obligations.</t>
  </si>
  <si>
    <t>Working Capital Metric</t>
  </si>
  <si>
    <t>Working Capital Metrics</t>
  </si>
  <si>
    <t>Working Capital Analysis</t>
  </si>
  <si>
    <t>DMart delivered strong FY2022 growth, with revenue increasing 28.30% and PBT and PAT growing faster than revenue. PBT and PAT margins improved modestly, while most major operating expenses remained broadly aligned with or below revenue growth.</t>
  </si>
  <si>
    <t>Evidence: Total Assets +13.30%; Equity +12.26%, indicating balance-sheet expansion.</t>
  </si>
  <si>
    <t>The balance sheet expanded during FY2022, supported primarily by growth in equity and assets.</t>
  </si>
  <si>
    <t>The -0.20% movement is tiny, so "broadly stable" is appropriate.</t>
  </si>
  <si>
    <t>Investing cash outflow increased, indicating greater cash deployment toward investing activities</t>
  </si>
  <si>
    <t>Financing cash outflow remained broadly stable, with a marginal reduction in the outflow.</t>
  </si>
  <si>
    <t>Net cash moved from an increase of ₹85.64 Cr to a decrease of ₹96.38 Cr, representing a ₹182.02 Cr negative swing</t>
  </si>
  <si>
    <t>(Gross Profit is derived from Revenue less COGS &amp; COGS = Purchase of Stock-in-Trade + Change in Inventories)</t>
  </si>
  <si>
    <t>DMART | FINANCIAL ANALYSIS PROJECT | AI-Enabled Financial Analysis | ChatGPT + Microsoft Copilot</t>
  </si>
  <si>
    <t>AI FEATURE</t>
  </si>
  <si>
    <t>FINANCIAL HEALTH SNAPSHOT</t>
  </si>
  <si>
    <t>KEY INSIGHTS</t>
  </si>
  <si>
    <t>CHART AREA 4
Balance Sheet / Ratios</t>
  </si>
  <si>
    <t>CHART AREA 3
Cash Flow / Working Capital</t>
  </si>
  <si>
    <t>CHART AREA 2
Profitability / Margins</t>
  </si>
  <si>
    <t>CHART AREA 1
Revenue / PBT / PAT</t>
  </si>
  <si>
    <r>
      <t xml:space="preserve">Financial Analysis Dashboard                       </t>
    </r>
    <r>
      <rPr>
        <b/>
        <i/>
        <sz val="20"/>
        <color theme="9" tint="-0.499984740745262"/>
        <rFont val="Calibri"/>
        <family val="2"/>
        <scheme val="minor"/>
      </rPr>
      <t xml:space="preserve"> FY 2021 - FY 2022</t>
    </r>
  </si>
  <si>
    <t>Analysis Area</t>
  </si>
  <si>
    <t>Metric Category</t>
  </si>
  <si>
    <t>Revenue &amp; Profitability</t>
  </si>
  <si>
    <t>Growth</t>
  </si>
  <si>
    <t>Profitability</t>
  </si>
  <si>
    <t>Balance Sheet</t>
  </si>
  <si>
    <t>Size</t>
  </si>
  <si>
    <t>Working Capital</t>
  </si>
  <si>
    <t>Cash Flow</t>
  </si>
  <si>
    <t>Net Working Capital</t>
  </si>
  <si>
    <t>Efficiency</t>
  </si>
  <si>
    <t>Solvency</t>
  </si>
  <si>
    <t>Revenue</t>
  </si>
  <si>
    <t>PBT</t>
  </si>
  <si>
    <t>PAT</t>
  </si>
  <si>
    <t>DASHBOARD SCOPE</t>
  </si>
  <si>
    <t>Period</t>
  </si>
  <si>
    <t>FY2021 – FY2022</t>
  </si>
  <si>
    <t>Reporting Basis</t>
  </si>
  <si>
    <t>Consolidated</t>
  </si>
  <si>
    <t>Currency</t>
  </si>
  <si>
    <t>₹ Crore</t>
  </si>
  <si>
    <t>Source: DMart Annual Report FY2021–22</t>
  </si>
  <si>
    <t>NET WORKING CAPITAL</t>
  </si>
  <si>
    <t>Working capital position</t>
  </si>
  <si>
    <r>
      <rPr>
        <b/>
        <sz val="10"/>
        <color rgb="FF263238"/>
        <rFont val="Aptos"/>
        <family val="2"/>
      </rPr>
      <t>1. Revenue &amp; Profit</t>
    </r>
    <r>
      <rPr>
        <sz val="10"/>
        <color rgb="FF263238"/>
        <rFont val="Aptos"/>
        <family val="2"/>
      </rPr>
      <t xml:space="preserve">
Revenue increased 28.30%, while PBT and PAT grew 39.14% and 35.74%, respectively, indicating stronger profit growth than revenue.
</t>
    </r>
    <r>
      <rPr>
        <b/>
        <sz val="10"/>
        <color rgb="FF263238"/>
        <rFont val="Aptos"/>
        <family val="2"/>
      </rPr>
      <t>2. Margins</t>
    </r>
    <r>
      <rPr>
        <sz val="10"/>
        <color rgb="FF263238"/>
        <rFont val="Aptos"/>
        <family val="2"/>
      </rPr>
      <t xml:space="preserve">
PBT margin improved from 6.14% to 6.66%, while PAT margin improved from 4.55% to 4.82%.
</t>
    </r>
    <r>
      <rPr>
        <b/>
        <sz val="10"/>
        <color rgb="FF263238"/>
        <rFont val="Aptos"/>
        <family val="2"/>
      </rPr>
      <t>3. Liquidity</t>
    </r>
    <r>
      <rPr>
        <sz val="10"/>
        <color rgb="FF263238"/>
        <rFont val="Aptos"/>
        <family val="2"/>
      </rPr>
      <t xml:space="preserve">
Liquidity weakened, with Current Ratio declining from 3.67× to 2.83× and Quick Ratio from 1.64× to 0.57×.
</t>
    </r>
    <r>
      <rPr>
        <b/>
        <sz val="10"/>
        <color rgb="FF263238"/>
        <rFont val="Aptos"/>
        <family val="2"/>
      </rPr>
      <t xml:space="preserve">4. Working Capital
</t>
    </r>
    <r>
      <rPr>
        <sz val="10"/>
        <color rgb="FF263238"/>
        <rFont val="Aptos"/>
        <family val="2"/>
      </rPr>
      <t xml:space="preserve">Net Working Capital declined 24.73%, while inventory increased 21.99% and trade receivables increased 53.49%.
</t>
    </r>
    <r>
      <rPr>
        <b/>
        <sz val="10"/>
        <color rgb="FF263238"/>
        <rFont val="Aptos"/>
        <family val="2"/>
      </rPr>
      <t>5. Cash Flow</t>
    </r>
    <r>
      <rPr>
        <sz val="10"/>
        <color rgb="FF263238"/>
        <rFont val="Aptos"/>
        <family val="2"/>
      </rPr>
      <t xml:space="preserve">
Operating Cash Flow remained broadly stable at ₹1,372.35 Cr, while investing outflow increased to ₹1,289.49 Cr.
</t>
    </r>
    <r>
      <rPr>
        <b/>
        <sz val="10"/>
        <color rgb="FF263238"/>
        <rFont val="Aptos"/>
        <family val="2"/>
      </rPr>
      <t>6. Returns &amp; Efficiency</t>
    </r>
    <r>
      <rPr>
        <sz val="10"/>
        <color rgb="FF263238"/>
        <rFont val="Aptos"/>
        <family val="2"/>
      </rPr>
      <t xml:space="preserve">
ROCE improved from 12.15% to 14.86%, while Inventory Turnover and Asset Turnover also increased.</t>
    </r>
  </si>
  <si>
    <r>
      <rPr>
        <b/>
        <i/>
        <sz val="10"/>
        <rFont val="Aptos"/>
        <family val="2"/>
      </rPr>
      <t>PROFITABILITY</t>
    </r>
    <r>
      <rPr>
        <b/>
        <sz val="10"/>
        <rFont val="Aptos"/>
        <family val="2"/>
      </rPr>
      <t xml:space="preserve">
</t>
    </r>
    <r>
      <rPr>
        <sz val="10"/>
        <rFont val="Aptos"/>
        <family val="2"/>
      </rPr>
      <t xml:space="preserve">PBT and PAT grew faster than revenue, with margins improving.
</t>
    </r>
    <r>
      <rPr>
        <b/>
        <i/>
        <sz val="10"/>
        <rFont val="Aptos"/>
        <family val="2"/>
      </rPr>
      <t>LIQUIDITY</t>
    </r>
    <r>
      <rPr>
        <sz val="10"/>
        <rFont val="Aptos"/>
        <family val="2"/>
      </rPr>
      <t xml:space="preserve">
Current and Quick Ratios declined, indicating a lower short-term liquidity cushion.
</t>
    </r>
    <r>
      <rPr>
        <b/>
        <i/>
        <sz val="10"/>
        <rFont val="Aptos"/>
        <family val="2"/>
      </rPr>
      <t>CASH FLOW</t>
    </r>
    <r>
      <rPr>
        <sz val="10"/>
        <rFont val="Aptos"/>
        <family val="2"/>
      </rPr>
      <t xml:space="preserve">
Operating cash flow remained broadly stable while investing outflow increased.
</t>
    </r>
    <r>
      <rPr>
        <b/>
        <i/>
        <sz val="10"/>
        <rFont val="Aptos"/>
        <family val="2"/>
      </rPr>
      <t>RETURNS</t>
    </r>
    <r>
      <rPr>
        <b/>
        <sz val="10"/>
        <rFont val="Aptos"/>
        <family val="2"/>
      </rPr>
      <t xml:space="preserve">
</t>
    </r>
    <r>
      <rPr>
        <sz val="10"/>
        <rFont val="Aptos"/>
        <family val="2"/>
      </rPr>
      <t>ROCE, ROA and ROE improved year-on-year.</t>
    </r>
  </si>
  <si>
    <t>KEY YEAR-ON-YEAR MOVEMENTS</t>
  </si>
  <si>
    <t xml:space="preserve">Financial Metrics </t>
  </si>
  <si>
    <t xml:space="preserve">FY 2022 Change  (vs. FY 2021) </t>
  </si>
  <si>
    <t>Revenue Growth</t>
  </si>
  <si>
    <t>PBT Growth</t>
  </si>
  <si>
    <t>PAT Growth</t>
  </si>
  <si>
    <t>NWC Change</t>
  </si>
  <si>
    <t>ROCE Improvement</t>
  </si>
  <si>
    <r>
      <rPr>
        <b/>
        <i/>
        <sz val="10"/>
        <color rgb="FF263238"/>
        <rFont val="Aptos"/>
        <family val="2"/>
      </rPr>
      <t>FY2022</t>
    </r>
    <r>
      <rPr>
        <b/>
        <sz val="10"/>
        <color rgb="FF263238"/>
        <rFont val="Aptos"/>
        <family val="2"/>
      </rPr>
      <t xml:space="preserve">
Revenue Growth: 28.30% ↑
Profitability: Improved ↑
Liquidity: Weakened ↓
Efficiency: Improved ↑
Leverage: Increased from low base ↗
Cash Flow: Broadly Stable →</t>
    </r>
  </si>
  <si>
    <r>
      <rPr>
        <b/>
        <i/>
        <sz val="16"/>
        <color theme="9" tint="-0.499984740745262"/>
        <rFont val="Calibri"/>
        <family val="2"/>
        <scheme val="minor"/>
      </rPr>
      <t xml:space="preserve">AI-ENABLED
FINANCIAL ANALYSIS
</t>
    </r>
    <r>
      <rPr>
        <b/>
        <i/>
        <sz val="14"/>
        <color theme="9" tint="-0.249977111117893"/>
        <rFont val="Calibri"/>
        <family val="2"/>
        <scheme val="minor"/>
      </rPr>
      <t>ChatGPT + Microsoft Copilot</t>
    </r>
    <r>
      <rPr>
        <i/>
        <sz val="12"/>
        <color theme="1"/>
        <rFont val="Calibri"/>
        <family val="2"/>
        <scheme val="minor"/>
      </rPr>
      <t xml:space="preserve">
Used for data cleaning, analysis, insight generation and dashboard structuring.</t>
    </r>
  </si>
  <si>
    <t>SOURCE / METHODOLOGY: Based on DMart consolidated financial statements for FY2021–FY2022. Analysis includes financial statement, profitability, liquidity, working capital, cash-flow, efficiency and solvency metrics. Calculations are linked to the underlying analysis sheets for recruiter traceability.</t>
  </si>
  <si>
    <t>→</t>
  </si>
  <si>
    <t>✓ Executive financial dashboard</t>
  </si>
  <si>
    <t>AI / VERIFICATION NOTE: AI tools were used as supporting tools for analysis and presentation. Final financial figures, formulas, analytical conclusions and dashboard outputs were reviewed against the underlying Excel calculations and source financial statements.</t>
  </si>
  <si>
    <t>✓ Cash-flow analysis</t>
  </si>
  <si>
    <t>✓ Balance sheet analysis</t>
  </si>
  <si>
    <t>✓ Revenue &amp; profitability analysis</t>
  </si>
  <si>
    <t>DATA SOURCE
Avenue Supermarts Limited (DMart) Annual Report FY2021–22
PORTFOLIO NOTE
Independently prepared for academic and portfolio purposes using publicly available financial information.</t>
  </si>
  <si>
    <t>✓ Consolidated financial statement analysis</t>
  </si>
  <si>
    <t>DATA SOURCE &amp; PORTFOLIO NOTE</t>
  </si>
  <si>
    <t>PROJECT DELIVERABLES</t>
  </si>
  <si>
    <t>Convert validated analysis into KPI cards, charts and management-style insights</t>
  </si>
  <si>
    <t>Executive Dashboard</t>
  </si>
  <si>
    <t>6</t>
  </si>
  <si>
    <t>Use ChatGPT + Copilot as supporting tools for analytical review and insight development</t>
  </si>
  <si>
    <t>AI-Assisted Review</t>
  </si>
  <si>
    <t>5</t>
  </si>
  <si>
    <t>Calculate liquidity, profitability, efficiency and solvency ratios</t>
  </si>
  <si>
    <t>4</t>
  </si>
  <si>
    <t>Perform YoY, profitability, balance sheet, cash-flow and working-capital analysis</t>
  </si>
  <si>
    <t>Financial Analysis</t>
  </si>
  <si>
    <t>3</t>
  </si>
  <si>
    <t>Extract and structure consolidated financial statement data in Excel</t>
  </si>
  <si>
    <t>Data Extraction</t>
  </si>
  <si>
    <t>2</t>
  </si>
  <si>
    <t>Source financial statements from DMart FY2021–22 Annual Report</t>
  </si>
  <si>
    <t>Annual Report</t>
  </si>
  <si>
    <t>1</t>
  </si>
  <si>
    <t>PROJECT METHODOLOGY</t>
  </si>
  <si>
    <t>• Business Interpretation &amp; Executive Insights</t>
  </si>
  <si>
    <t>• Professional Excel formatting and presentation</t>
  </si>
  <si>
    <t>• Solvency &amp; Interest Coverage</t>
  </si>
  <si>
    <t>• Charts and financial data visualization</t>
  </si>
  <si>
    <t>• Efficiency &amp; Asset Utilization Ratios</t>
  </si>
  <si>
    <t>• KPI cards and executive dashboard design</t>
  </si>
  <si>
    <t>• Liquidity &amp; Profitability Ratios</t>
  </si>
  <si>
    <t>• Financial ratio calculations</t>
  </si>
  <si>
    <t>• Working Capital Analysis</t>
  </si>
  <si>
    <t>• Comparative year-on-year analysis</t>
  </si>
  <si>
    <t>• Cash Flow Analysis</t>
  </si>
  <si>
    <t>• Structured analytical tables and calculations</t>
  </si>
  <si>
    <t>• Balance Sheet &amp; Financial Position</t>
  </si>
  <si>
    <t>• Formula-driven financial analysis</t>
  </si>
  <si>
    <t>• Revenue &amp; Profitability Analysis</t>
  </si>
  <si>
    <t>• Power Query – financial statement / PDF data extraction</t>
  </si>
  <si>
    <t>FINANCIAL ANALYTICAL FRAMEWORK</t>
  </si>
  <si>
    <t>ADVANCED EXCEL &amp; ANALYTICS</t>
  </si>
  <si>
    <t>To evaluate DMart’s financial performance and position through comparative financial statement analysis, profitability, liquidity, working capital, cash-flow, efficiency and solvency analysis for FY2021–FY2022, and present the findings through an executive financial dashboard.</t>
  </si>
  <si>
    <t>PROJECT OBJECTIVE</t>
  </si>
  <si>
    <t>Consolidated Financial Statements</t>
  </si>
  <si>
    <t>• Dashboard structure and presentation support</t>
  </si>
  <si>
    <t>• Insight generation and commentary support</t>
  </si>
  <si>
    <t>Avenue Supermarts Limited (DMart)</t>
  </si>
  <si>
    <t>Company</t>
  </si>
  <si>
    <t>• Financial trend and ratio interpretation</t>
  </si>
  <si>
    <t>Independent Portfolio Project – Financial Analysis</t>
  </si>
  <si>
    <t>Project Type</t>
  </si>
  <si>
    <t>• Formula development and analytical review support</t>
  </si>
  <si>
    <t>B.Com – Business Administration | M.Com – Advanced Accounting &amp; Income Tax</t>
  </si>
  <si>
    <t>Education</t>
  </si>
  <si>
    <t>• Financial-data structuring and organization</t>
  </si>
  <si>
    <t>Professional Profile</t>
  </si>
  <si>
    <t>AI Tools: ChatGPT + Microsoft Copilot</t>
  </si>
  <si>
    <t>Ayush Nitin Jagtap</t>
  </si>
  <si>
    <t>Prepared By</t>
  </si>
  <si>
    <t>AI-ENABLED WORKFLOW</t>
  </si>
  <si>
    <t>PROJECT PROFILE</t>
  </si>
  <si>
    <t>Advanced Excel  |  Financial Analysis  |  AI-Assisted Analytics  |  Executive Dashboard</t>
  </si>
  <si>
    <t>FY 2021 – FY 2022</t>
  </si>
  <si>
    <t>AI-ENABLED FINANCIAL STATEMENT ANALYSIS</t>
  </si>
  <si>
    <t>AVENUE SUPERMARTS LIMITED (DMART)</t>
  </si>
  <si>
    <r>
      <rPr>
        <b/>
        <i/>
        <sz val="12"/>
        <color rgb="FF2F6B2F"/>
        <rFont val="Aptos"/>
        <family val="2"/>
      </rPr>
      <t>HUMAN-VERIFIED WORKFLOW</t>
    </r>
    <r>
      <rPr>
        <b/>
        <sz val="12"/>
        <color rgb="FF2F6B2F"/>
        <rFont val="Aptos"/>
        <family val="2"/>
      </rPr>
      <t xml:space="preserve">
AI was used as a supporting analytical tool. Financial figures, calculations, interpretations and final outputs were reviewed against the underlying financial statements and Excel analysis.</t>
    </r>
  </si>
  <si>
    <t>Accounting | Finance &amp; Business Analysis | Financial Modeling | AI - Integrated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</si>
</sst>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0.00&quot;%&quot;"/>
    <numFmt numFmtId="166" formatCode="0.00&quot;x&quot;"/>
    <numFmt numFmtId="167" formatCode="#,##0.00;\(#,##0.00\)"/>
    <numFmt numFmtId="168" formatCode="0.00\ %"/>
    <numFmt numFmtId="169" formatCode="&quot;₹&quot;\ #,##0.00"/>
  </numFmts>
  <fonts count="1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color rgb="FF0B5D3B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2"/>
      <color rgb="FF172033"/>
      <name val="Calibri"/>
      <family val="2"/>
      <scheme val="minor"/>
    </font>
    <font>
      <sz val="9.5"/>
      <color rgb="FF172033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3"/>
      <color rgb="FF064E3B"/>
      <name val="Calibri"/>
      <family val="2"/>
      <scheme val="minor"/>
    </font>
    <font>
      <i/>
      <sz val="9"/>
      <color rgb="FF172033"/>
      <name val="Calibri"/>
      <family val="2"/>
      <scheme val="minor"/>
    </font>
    <font>
      <b/>
      <sz val="10"/>
      <color rgb="FF172033"/>
      <name val="Calibri"/>
      <family val="2"/>
      <scheme val="minor"/>
    </font>
    <font>
      <sz val="9"/>
      <color rgb="FF172033"/>
      <name val="Calibri"/>
      <family val="2"/>
      <scheme val="minor"/>
    </font>
    <font>
      <b/>
      <sz val="18"/>
      <color rgb="FF008A4E"/>
      <name val="Calibri"/>
      <family val="2"/>
      <scheme val="minor"/>
    </font>
    <font>
      <b/>
      <sz val="12"/>
      <color rgb="FF064E3B"/>
      <name val="Aptos Display"/>
      <family val="2"/>
    </font>
    <font>
      <sz val="9.5"/>
      <color rgb="FF172033"/>
      <name val="Aptos"/>
      <family val="2"/>
    </font>
    <font>
      <b/>
      <sz val="9"/>
      <color rgb="FF064E3B"/>
      <name val="Aptos"/>
      <family val="2"/>
    </font>
    <font>
      <b/>
      <i/>
      <sz val="12"/>
      <color rgb="FF064E3B"/>
      <name val="Aptos Display"/>
      <family val="2"/>
    </font>
    <font>
      <i/>
      <sz val="9"/>
      <color rgb="FF6B7280"/>
      <name val="Aptos"/>
      <family val="2"/>
    </font>
    <font>
      <b/>
      <sz val="36"/>
      <color rgb="FF064E3B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9"/>
      <color rgb="FF667085"/>
      <name val="Aptos"/>
      <family val="2"/>
    </font>
    <font>
      <b/>
      <sz val="10"/>
      <color rgb="FF0B5D3B"/>
      <name val="Aptos"/>
      <family val="2"/>
    </font>
    <font>
      <b/>
      <sz val="10"/>
      <color rgb="FF172033"/>
      <name val="Aptos"/>
      <family val="2"/>
    </font>
    <font>
      <b/>
      <sz val="12"/>
      <color rgb="FFFFFFFF"/>
      <name val="Aptos Display"/>
      <family val="2"/>
    </font>
    <font>
      <sz val="10"/>
      <color rgb="FF172033"/>
      <name val="Aptos"/>
      <family val="2"/>
    </font>
    <font>
      <sz val="9"/>
      <color rgb="FF172033"/>
      <name val="Aptos"/>
      <family val="2"/>
    </font>
    <font>
      <b/>
      <sz val="16"/>
      <color rgb="FF039855"/>
      <name val="Aptos"/>
      <family val="2"/>
    </font>
    <font>
      <b/>
      <sz val="10"/>
      <color rgb="FF039855"/>
      <name val="Aptos"/>
      <family val="2"/>
    </font>
    <font>
      <b/>
      <sz val="13"/>
      <color rgb="FFFFFFFF"/>
      <name val="Aptos Display"/>
      <family val="2"/>
    </font>
    <font>
      <b/>
      <sz val="16"/>
      <name val="Aptos"/>
      <family val="2"/>
    </font>
    <font>
      <b/>
      <sz val="16"/>
      <color rgb="FFD92D20"/>
      <name val="Aptos"/>
      <family val="2"/>
    </font>
    <font>
      <b/>
      <sz val="10"/>
      <color rgb="FFD92D20"/>
      <name val="Aptos"/>
      <family val="2"/>
    </font>
    <font>
      <b/>
      <i/>
      <sz val="12"/>
      <color rgb="FFFFFFFF"/>
      <name val="Aptos"/>
      <family val="2"/>
    </font>
    <font>
      <sz val="20"/>
      <color theme="1"/>
      <name val="Calibri"/>
      <family val="2"/>
      <scheme val="minor"/>
    </font>
    <font>
      <b/>
      <sz val="20"/>
      <color rgb="FF0B5D3B"/>
      <name val="Aptos Display"/>
      <family val="2"/>
    </font>
    <font>
      <b/>
      <sz val="9"/>
      <color rgb="FF075B3E"/>
      <name val="Calibri"/>
      <family val="2"/>
      <scheme val="minor"/>
    </font>
    <font>
      <sz val="9"/>
      <color rgb="FF17212B"/>
      <name val="Calibri"/>
      <family val="2"/>
      <scheme val="minor"/>
    </font>
    <font>
      <b/>
      <sz val="10"/>
      <color rgb="FF075B3E"/>
      <name val="Calibri"/>
      <family val="2"/>
      <scheme val="minor"/>
    </font>
    <font>
      <b/>
      <sz val="14"/>
      <color rgb="FF075B3E"/>
      <name val="Calibri"/>
      <family val="2"/>
      <scheme val="minor"/>
    </font>
    <font>
      <b/>
      <sz val="24"/>
      <color rgb="FF075B3E"/>
      <name val="Calibri"/>
      <family val="2"/>
      <scheme val="minor"/>
    </font>
    <font>
      <b/>
      <sz val="10"/>
      <color theme="9" tint="-0.499984740745262"/>
      <name val="Aptos"/>
      <family val="2"/>
    </font>
    <font>
      <i/>
      <sz val="8"/>
      <color rgb="FF6B728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0"/>
      <color rgb="FF17212B"/>
      <name val="Calibri"/>
      <family val="2"/>
      <scheme val="minor"/>
    </font>
    <font>
      <sz val="11"/>
      <color rgb="FF17212B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sz val="11"/>
      <color rgb="FF17212B"/>
      <name val="Calibri"/>
      <family val="2"/>
      <scheme val="minor"/>
    </font>
    <font>
      <b/>
      <sz val="11"/>
      <color rgb="FF075B3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D93025"/>
      <name val="Calibri"/>
      <family val="2"/>
      <scheme val="minor"/>
    </font>
    <font>
      <i/>
      <u/>
      <sz val="10"/>
      <color rgb="FF17212B"/>
      <name val="Calibri"/>
      <family val="2"/>
      <scheme val="minor"/>
    </font>
    <font>
      <b/>
      <sz val="12"/>
      <color rgb="FF075B3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7212B"/>
      <name val="Calibri"/>
      <family val="2"/>
      <scheme val="minor"/>
    </font>
    <font>
      <b/>
      <sz val="12"/>
      <color rgb="FF168A52"/>
      <name val="Calibri"/>
      <family val="2"/>
      <scheme val="minor"/>
    </font>
    <font>
      <b/>
      <sz val="12"/>
      <color rgb="FFD93025"/>
      <name val="Calibri"/>
      <family val="2"/>
      <scheme val="minor"/>
    </font>
    <font>
      <sz val="12"/>
      <color rgb="FF17212B"/>
      <name val="Calibri"/>
      <family val="2"/>
      <scheme val="minor"/>
    </font>
    <font>
      <i/>
      <sz val="12"/>
      <color rgb="FF075B3E"/>
      <name val="Calibri"/>
      <family val="2"/>
      <scheme val="minor"/>
    </font>
    <font>
      <i/>
      <sz val="11"/>
      <color rgb="FF17212B"/>
      <name val="Calibri"/>
      <family val="2"/>
      <scheme val="minor"/>
    </font>
    <font>
      <i/>
      <sz val="10"/>
      <color rgb="FF17212B"/>
      <name val="Calibri"/>
      <family val="2"/>
      <scheme val="minor"/>
    </font>
    <font>
      <b/>
      <sz val="16"/>
      <color rgb="FF075B3E"/>
      <name val="Calibri"/>
      <family val="2"/>
      <scheme val="minor"/>
    </font>
    <font>
      <b/>
      <sz val="22"/>
      <color rgb="FF075B3E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8"/>
      <color rgb="FF17203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9"/>
      <color rgb="FF1B5E20"/>
      <name val="Aptos"/>
      <family val="2"/>
    </font>
    <font>
      <i/>
      <sz val="9"/>
      <color rgb="FF607D8B"/>
      <name val="Aptos"/>
      <family val="2"/>
    </font>
    <font>
      <b/>
      <sz val="11"/>
      <color rgb="FFFFFFFF"/>
      <name val="Aptos"/>
      <family val="2"/>
    </font>
    <font>
      <b/>
      <sz val="10"/>
      <color rgb="FF263238"/>
      <name val="Aptos"/>
      <family val="2"/>
    </font>
    <font>
      <sz val="10"/>
      <color rgb="FF263238"/>
      <name val="Aptos"/>
      <family val="2"/>
    </font>
    <font>
      <b/>
      <sz val="12"/>
      <color rgb="FFFFFFFF"/>
      <name val="Aptos"/>
      <family val="2"/>
    </font>
    <font>
      <b/>
      <sz val="10"/>
      <color rgb="FF90A4AE"/>
      <name val="Aptos"/>
      <family val="2"/>
    </font>
    <font>
      <i/>
      <sz val="8"/>
      <color rgb="FF607D8B"/>
      <name val="Aptos"/>
      <family val="2"/>
    </font>
    <font>
      <b/>
      <sz val="11"/>
      <color rgb="FF607D8B"/>
      <name val="Aptos"/>
      <family val="2"/>
    </font>
    <font>
      <b/>
      <sz val="22"/>
      <color rgb="FF1B5E20"/>
      <name val="Aptos Display"/>
      <family val="2"/>
    </font>
    <font>
      <sz val="8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36"/>
      <color theme="9" tint="-0.499984740745262"/>
      <name val="Calibri"/>
      <family val="2"/>
      <scheme val="minor"/>
    </font>
    <font>
      <b/>
      <i/>
      <sz val="20"/>
      <color theme="9" tint="-0.499984740745262"/>
      <name val="Calibri"/>
      <family val="2"/>
      <scheme val="minor"/>
    </font>
    <font>
      <sz val="12"/>
      <color rgb="FFD93025"/>
      <name val="Calibri"/>
      <family val="2"/>
      <scheme val="minor"/>
    </font>
    <font>
      <b/>
      <i/>
      <sz val="20"/>
      <color theme="1"/>
      <name val="Aptos"/>
      <family val="2"/>
    </font>
    <font>
      <b/>
      <sz val="20"/>
      <color theme="1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b/>
      <sz val="16"/>
      <color theme="9" tint="-0.249977111117893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b/>
      <sz val="11"/>
      <color theme="1"/>
      <name val="Aptos"/>
      <family val="2"/>
    </font>
    <font>
      <b/>
      <i/>
      <sz val="20"/>
      <color theme="0"/>
      <name val="Calibri"/>
      <family val="2"/>
      <scheme val="minor"/>
    </font>
    <font>
      <b/>
      <i/>
      <sz val="12"/>
      <color rgb="FF1B5E20"/>
      <name val="Aptos Display"/>
      <family val="2"/>
    </font>
    <font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b/>
      <sz val="14"/>
      <color theme="0"/>
      <name val="Aptos"/>
      <family val="2"/>
    </font>
    <font>
      <b/>
      <sz val="14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6"/>
      <color theme="9" tint="-0.499984740745262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rgb="FF263238"/>
      <name val="Aptos"/>
      <family val="2"/>
    </font>
    <font>
      <b/>
      <sz val="11"/>
      <name val="Calibri"/>
      <family val="2"/>
      <scheme val="minor"/>
    </font>
    <font>
      <b/>
      <i/>
      <sz val="13"/>
      <color theme="0"/>
      <name val="Aptos Display"/>
      <family val="2"/>
    </font>
    <font>
      <b/>
      <sz val="22"/>
      <color theme="0"/>
      <name val="Aptos Display"/>
      <family val="2"/>
    </font>
    <font>
      <b/>
      <sz val="12"/>
      <color rgb="FF1F1F1F"/>
      <name val="Aptos"/>
      <family val="2"/>
    </font>
    <font>
      <sz val="12"/>
      <color rgb="FF1F1F1F"/>
      <name val="Aptos"/>
      <family val="2"/>
    </font>
    <font>
      <b/>
      <sz val="12"/>
      <color rgb="FF2F6B2F"/>
      <name val="Aptos"/>
      <family val="2"/>
    </font>
    <font>
      <i/>
      <sz val="12"/>
      <color rgb="FF2F6B2F"/>
      <name val="Aptos"/>
      <family val="2"/>
    </font>
    <font>
      <b/>
      <i/>
      <sz val="11"/>
      <color rgb="FF2F6B2F"/>
      <name val="Aptos"/>
      <family val="2"/>
    </font>
    <font>
      <sz val="22"/>
      <color theme="0"/>
      <name val="Calibri"/>
      <family val="2"/>
      <scheme val="minor"/>
    </font>
    <font>
      <b/>
      <i/>
      <sz val="16"/>
      <color theme="0"/>
      <name val="Aptos Display"/>
      <family val="2"/>
    </font>
    <font>
      <b/>
      <i/>
      <sz val="16"/>
      <color theme="0"/>
      <name val="Calibri"/>
      <family val="2"/>
      <scheme val="minor"/>
    </font>
    <font>
      <b/>
      <u/>
      <sz val="12"/>
      <color rgb="FF2F6B2F"/>
      <name val="Aptos"/>
      <family val="2"/>
    </font>
    <font>
      <u/>
      <sz val="12"/>
      <color theme="1"/>
      <name val="Calibri"/>
      <family val="2"/>
      <scheme val="minor"/>
    </font>
    <font>
      <b/>
      <i/>
      <sz val="12"/>
      <color rgb="FF2F6B2F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F6EA"/>
      </patternFill>
    </fill>
    <fill>
      <patternFill patternType="solid">
        <fgColor rgb="FF0B5D3B"/>
      </patternFill>
    </fill>
    <fill>
      <patternFill patternType="solid">
        <fgColor rgb="FFF7F5EF"/>
      </patternFill>
    </fill>
    <fill>
      <patternFill patternType="solid">
        <fgColor rgb="FFDDEEDC"/>
      </patternFill>
    </fill>
    <fill>
      <patternFill patternType="solid">
        <fgColor rgb="FFEAF4EA"/>
      </patternFill>
    </fill>
    <fill>
      <patternFill patternType="solid">
        <fgColor rgb="FFEEF7EB"/>
      </patternFill>
    </fill>
    <fill>
      <patternFill patternType="solid">
        <fgColor rgb="FFF7FBF6"/>
      </patternFill>
    </fill>
    <fill>
      <patternFill patternType="solid">
        <fgColor rgb="FFFAFCFA"/>
      </patternFill>
    </fill>
    <fill>
      <patternFill patternType="solid">
        <fgColor rgb="FFFFFFFF"/>
      </patternFill>
    </fill>
    <fill>
      <patternFill patternType="solid">
        <fgColor rgb="FFEEF7EA"/>
        <bgColor indexed="64"/>
      </patternFill>
    </fill>
    <fill>
      <patternFill patternType="solid">
        <fgColor rgb="FFDCEEDB"/>
        <bgColor indexed="64"/>
      </patternFill>
    </fill>
    <fill>
      <patternFill patternType="solid">
        <fgColor rgb="FF075B3E"/>
        <bgColor indexed="64"/>
      </patternFill>
    </fill>
    <fill>
      <patternFill patternType="solid">
        <fgColor rgb="FF1B5E20"/>
      </patternFill>
    </fill>
    <fill>
      <patternFill patternType="solid">
        <fgColor rgb="FFF4FBF5"/>
      </patternFill>
    </fill>
    <fill>
      <patternFill patternType="solid">
        <fgColor rgb="FF2E7D3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2F0D9"/>
      </patternFill>
    </fill>
    <fill>
      <patternFill patternType="solid">
        <fgColor rgb="FFF8FBF6"/>
      </patternFill>
    </fill>
    <fill>
      <patternFill patternType="solid">
        <fgColor rgb="FF2F6B2F"/>
      </patternFill>
    </fill>
    <fill>
      <patternFill patternType="solid">
        <fgColor rgb="FFF3F8EF"/>
      </patternFill>
    </fill>
  </fills>
  <borders count="55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rgb="FFD9E1DD"/>
      </left>
      <right/>
      <top style="thin">
        <color rgb="FFD9E1DD"/>
      </top>
      <bottom/>
      <diagonal/>
    </border>
    <border>
      <left/>
      <right/>
      <top style="thin">
        <color rgb="FFD9E1DD"/>
      </top>
      <bottom/>
      <diagonal/>
    </border>
    <border>
      <left/>
      <right style="thin">
        <color rgb="FFD9E1DD"/>
      </right>
      <top style="thin">
        <color rgb="FFD9E1DD"/>
      </top>
      <bottom/>
      <diagonal/>
    </border>
    <border>
      <left style="thin">
        <color rgb="FFD9E1DD"/>
      </left>
      <right/>
      <top/>
      <bottom/>
      <diagonal/>
    </border>
    <border>
      <left/>
      <right style="thin">
        <color rgb="FFD9E1DD"/>
      </right>
      <top/>
      <bottom/>
      <diagonal/>
    </border>
    <border>
      <left style="thin">
        <color rgb="FFD9E1DD"/>
      </left>
      <right/>
      <top/>
      <bottom style="thin">
        <color rgb="FFD9E1DD"/>
      </bottom>
      <diagonal/>
    </border>
    <border>
      <left/>
      <right/>
      <top/>
      <bottom style="thin">
        <color rgb="FFD9E1DD"/>
      </bottom>
      <diagonal/>
    </border>
    <border>
      <left/>
      <right style="thin">
        <color rgb="FFD9E1DD"/>
      </right>
      <top/>
      <bottom style="thin">
        <color rgb="FFD9E1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rgb="FF0B5D3B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rgb="FFD5DDE0"/>
      </left>
      <right style="thin">
        <color rgb="FFD5DDE0"/>
      </right>
      <top style="thin">
        <color rgb="FFD5DDE0"/>
      </top>
      <bottom style="thin">
        <color rgb="FFD5DD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5DDE0"/>
      </top>
      <bottom/>
      <diagonal/>
    </border>
    <border>
      <left/>
      <right style="thin">
        <color rgb="FFD5DDE0"/>
      </right>
      <top style="thin">
        <color rgb="FFD5DDE0"/>
      </top>
      <bottom style="thin">
        <color rgb="FFD5DDE0"/>
      </bottom>
      <diagonal/>
    </border>
    <border>
      <left/>
      <right/>
      <top style="thin">
        <color rgb="FFD5DDE0"/>
      </top>
      <bottom style="thin">
        <color rgb="FFD5DDE0"/>
      </bottom>
      <diagonal/>
    </border>
    <border>
      <left style="thin">
        <color rgb="FFD5DDE0"/>
      </left>
      <right/>
      <top style="thin">
        <color rgb="FFD5DDE0"/>
      </top>
      <bottom style="thin">
        <color rgb="FFD5DDE0"/>
      </bottom>
      <diagonal/>
    </border>
    <border>
      <left/>
      <right/>
      <top/>
      <bottom style="thin">
        <color rgb="FFD5DDE0"/>
      </bottom>
      <diagonal/>
    </border>
    <border>
      <left/>
      <right style="thin">
        <color indexed="64"/>
      </right>
      <top/>
      <bottom style="thin">
        <color rgb="FFD5DDE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D5DDE0"/>
      </top>
      <bottom style="thin">
        <color rgb="FFD5DDE0"/>
      </bottom>
      <diagonal/>
    </border>
    <border>
      <left style="thin">
        <color indexed="64"/>
      </left>
      <right/>
      <top/>
      <bottom/>
      <diagonal/>
    </border>
    <border>
      <left style="thin">
        <color rgb="FFD5DDE0"/>
      </left>
      <right/>
      <top/>
      <bottom/>
      <diagonal/>
    </border>
    <border>
      <left style="thin">
        <color rgb="FFD5DDE0"/>
      </left>
      <right/>
      <top style="thin">
        <color rgb="FFD5DDE0"/>
      </top>
      <bottom/>
      <diagonal/>
    </border>
    <border>
      <left/>
      <right style="thin">
        <color rgb="FFD5DDE0"/>
      </right>
      <top/>
      <bottom style="thin">
        <color rgb="FFD5DDE0"/>
      </bottom>
      <diagonal/>
    </border>
    <border>
      <left style="thin">
        <color rgb="FFD5DDE0"/>
      </left>
      <right/>
      <top/>
      <bottom style="thin">
        <color rgb="FFD5DDE0"/>
      </bottom>
      <diagonal/>
    </border>
    <border>
      <left/>
      <right style="thin">
        <color rgb="FFD5DDE0"/>
      </right>
      <top style="thin">
        <color rgb="FFD5DDE0"/>
      </top>
      <bottom/>
      <diagonal/>
    </border>
    <border>
      <left/>
      <right style="thin">
        <color indexed="64"/>
      </right>
      <top style="thin">
        <color rgb="FFD5DDE0"/>
      </top>
      <bottom/>
      <diagonal/>
    </border>
    <border>
      <left style="thin">
        <color rgb="FFD5DDE0"/>
      </left>
      <right style="thin">
        <color rgb="FFD5DDE0"/>
      </right>
      <top style="thin">
        <color rgb="FFD5DDE0"/>
      </top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/>
      <right/>
      <top/>
      <bottom style="thin">
        <color rgb="FFCFD8DC"/>
      </bottom>
      <diagonal/>
    </border>
    <border>
      <left style="thin">
        <color rgb="FFCFD8DC"/>
      </left>
      <right/>
      <top/>
      <bottom style="thin">
        <color rgb="FFCFD8DC"/>
      </bottom>
      <diagonal/>
    </border>
    <border>
      <left/>
      <right style="thin">
        <color rgb="FFCFD8DC"/>
      </right>
      <top/>
      <bottom/>
      <diagonal/>
    </border>
    <border>
      <left style="thin">
        <color rgb="FFCFD8DC"/>
      </left>
      <right/>
      <top/>
      <bottom/>
      <diagonal/>
    </border>
    <border>
      <left/>
      <right style="thin">
        <color rgb="FFCFD8DC"/>
      </right>
      <top style="thin">
        <color rgb="FFCFD8DC"/>
      </top>
      <bottom/>
      <diagonal/>
    </border>
    <border>
      <left/>
      <right/>
      <top style="thin">
        <color rgb="FFCFD8DC"/>
      </top>
      <bottom/>
      <diagonal/>
    </border>
    <border>
      <left style="thin">
        <color rgb="FFCFD8DC"/>
      </left>
      <right/>
      <top style="thin">
        <color rgb="FFCFD8DC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B7C9AF"/>
      </left>
      <right style="thin">
        <color rgb="FFB7C9AF"/>
      </right>
      <top style="thin">
        <color rgb="FFB7C9AF"/>
      </top>
      <bottom style="thin">
        <color rgb="FFB7C9AF"/>
      </bottom>
      <diagonal/>
    </border>
    <border>
      <left/>
      <right/>
      <top/>
      <bottom style="medium">
        <color rgb="FF2F6B2F"/>
      </bottom>
      <diagonal/>
    </border>
    <border>
      <left/>
      <right/>
      <top style="medium">
        <color rgb="FF2F6B2F"/>
      </top>
      <bottom/>
      <diagonal/>
    </border>
    <border>
      <left/>
      <right/>
      <top/>
      <bottom style="thin">
        <color rgb="FFB7C9A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/>
    <xf numFmtId="44" fontId="1" fillId="0" borderId="0"/>
  </cellStyleXfs>
  <cellXfs count="33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44" fontId="3" fillId="0" borderId="0" xfId="1" applyFont="1" applyAlignment="1">
      <alignment horizontal="right"/>
    </xf>
    <xf numFmtId="44" fontId="0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3" fillId="0" borderId="0" xfId="1" applyNumberFormat="1" applyFont="1" applyAlignment="1">
      <alignment horizontal="right"/>
    </xf>
    <xf numFmtId="44" fontId="5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/>
    <xf numFmtId="44" fontId="6" fillId="3" borderId="0" xfId="1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right"/>
    </xf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horizontal="left" indent="3"/>
    </xf>
    <xf numFmtId="0" fontId="9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8" fillId="0" borderId="0" xfId="0" applyFont="1"/>
    <xf numFmtId="2" fontId="3" fillId="0" borderId="0" xfId="0" applyNumberFormat="1" applyFont="1"/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0" fillId="8" borderId="0" xfId="0" applyFill="1"/>
    <xf numFmtId="0" fontId="0" fillId="0" borderId="7" xfId="0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166" fontId="0" fillId="0" borderId="8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165" fontId="0" fillId="0" borderId="8" xfId="0" applyNumberFormat="1" applyBorder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35" fillId="12" borderId="12" xfId="0" applyFont="1" applyFill="1" applyBorder="1" applyAlignment="1">
      <alignment horizontal="center" vertical="center"/>
    </xf>
    <xf numFmtId="10" fontId="36" fillId="12" borderId="12" xfId="0" applyNumberFormat="1" applyFont="1" applyFill="1" applyBorder="1" applyAlignment="1">
      <alignment horizontal="right" vertical="center"/>
    </xf>
    <xf numFmtId="4" fontId="33" fillId="12" borderId="12" xfId="0" applyNumberFormat="1" applyFont="1" applyFill="1" applyBorder="1" applyAlignment="1">
      <alignment horizontal="right" vertical="center"/>
    </xf>
    <xf numFmtId="0" fontId="31" fillId="12" borderId="12" xfId="0" applyFont="1" applyFill="1" applyBorder="1" applyAlignment="1">
      <alignment vertical="center" wrapText="1"/>
    </xf>
    <xf numFmtId="0" fontId="35" fillId="13" borderId="12" xfId="0" applyFont="1" applyFill="1" applyBorder="1" applyAlignment="1">
      <alignment horizontal="center" vertical="center"/>
    </xf>
    <xf numFmtId="10" fontId="36" fillId="13" borderId="12" xfId="2" applyNumberFormat="1" applyFont="1" applyFill="1" applyBorder="1" applyAlignment="1">
      <alignment horizontal="right" vertical="center"/>
    </xf>
    <xf numFmtId="4" fontId="33" fillId="13" borderId="12" xfId="0" applyNumberFormat="1" applyFont="1" applyFill="1" applyBorder="1" applyAlignment="1">
      <alignment horizontal="right" vertical="center"/>
    </xf>
    <xf numFmtId="0" fontId="31" fillId="13" borderId="12" xfId="0" applyFont="1" applyFill="1" applyBorder="1" applyAlignment="1">
      <alignment vertical="center" wrapText="1"/>
    </xf>
    <xf numFmtId="10" fontId="36" fillId="12" borderId="12" xfId="2" applyNumberFormat="1" applyFont="1" applyFill="1" applyBorder="1" applyAlignment="1">
      <alignment horizontal="right" vertical="center"/>
    </xf>
    <xf numFmtId="4" fontId="33" fillId="13" borderId="12" xfId="3" applyNumberFormat="1" applyFont="1" applyFill="1" applyBorder="1" applyAlignment="1">
      <alignment horizontal="right" vertical="center"/>
    </xf>
    <xf numFmtId="0" fontId="38" fillId="12" borderId="12" xfId="0" applyFont="1" applyFill="1" applyBorder="1" applyAlignment="1">
      <alignment horizontal="center" vertical="center"/>
    </xf>
    <xf numFmtId="0" fontId="33" fillId="12" borderId="12" xfId="0" applyFont="1" applyFill="1" applyBorder="1" applyAlignment="1">
      <alignment horizontal="right" vertical="center"/>
    </xf>
    <xf numFmtId="4" fontId="33" fillId="12" borderId="12" xfId="3" applyNumberFormat="1" applyFont="1" applyFill="1" applyBorder="1" applyAlignment="1">
      <alignment horizontal="right" vertical="center"/>
    </xf>
    <xf numFmtId="0" fontId="38" fillId="13" borderId="12" xfId="0" applyFont="1" applyFill="1" applyBorder="1" applyAlignment="1">
      <alignment horizontal="center" vertical="center"/>
    </xf>
    <xf numFmtId="0" fontId="33" fillId="13" borderId="12" xfId="0" applyFont="1" applyFill="1" applyBorder="1" applyAlignment="1">
      <alignment horizontal="right" vertical="center"/>
    </xf>
    <xf numFmtId="0" fontId="39" fillId="13" borderId="12" xfId="0" applyFont="1" applyFill="1" applyBorder="1" applyAlignment="1">
      <alignment horizontal="center" vertical="center"/>
    </xf>
    <xf numFmtId="10" fontId="40" fillId="13" borderId="12" xfId="2" applyNumberFormat="1" applyFont="1" applyFill="1" applyBorder="1" applyAlignment="1">
      <alignment horizontal="right" vertical="center"/>
    </xf>
    <xf numFmtId="0" fontId="49" fillId="4" borderId="0" xfId="0" applyFont="1" applyFill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45" fillId="15" borderId="0" xfId="0" applyFont="1" applyFill="1" applyAlignment="1">
      <alignment horizontal="center" vertical="center"/>
    </xf>
    <xf numFmtId="0" fontId="46" fillId="15" borderId="0" xfId="0" applyFont="1" applyFill="1" applyAlignment="1">
      <alignment horizontal="left" vertical="center"/>
    </xf>
    <xf numFmtId="0" fontId="44" fillId="14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48" fillId="0" borderId="0" xfId="0" applyFont="1" applyAlignment="1">
      <alignment vertical="center"/>
    </xf>
    <xf numFmtId="0" fontId="48" fillId="4" borderId="0" xfId="0" applyFont="1" applyFill="1" applyAlignment="1">
      <alignment vertical="center"/>
    </xf>
    <xf numFmtId="0" fontId="56" fillId="0" borderId="13" xfId="0" applyFont="1" applyBorder="1" applyAlignment="1">
      <alignment horizontal="left" vertical="center"/>
    </xf>
    <xf numFmtId="0" fontId="58" fillId="16" borderId="14" xfId="0" applyFont="1" applyFill="1" applyBorder="1" applyAlignment="1">
      <alignment horizontal="center" vertical="center"/>
    </xf>
    <xf numFmtId="167" fontId="56" fillId="0" borderId="13" xfId="0" applyNumberFormat="1" applyFont="1" applyBorder="1" applyAlignment="1">
      <alignment horizontal="center" vertical="center"/>
    </xf>
    <xf numFmtId="165" fontId="59" fillId="0" borderId="13" xfId="0" applyNumberFormat="1" applyFont="1" applyBorder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54" fillId="0" borderId="23" xfId="0" applyFont="1" applyBorder="1" applyAlignment="1">
      <alignment vertical="center" wrapText="1"/>
    </xf>
    <xf numFmtId="0" fontId="54" fillId="15" borderId="0" xfId="0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0" fontId="54" fillId="0" borderId="13" xfId="0" applyFont="1" applyBorder="1" applyAlignment="1">
      <alignment horizontal="left" vertical="center" wrapText="1"/>
    </xf>
    <xf numFmtId="0" fontId="57" fillId="15" borderId="0" xfId="0" applyFont="1" applyFill="1" applyAlignment="1">
      <alignment horizontal="left" vertical="center"/>
    </xf>
    <xf numFmtId="0" fontId="54" fillId="14" borderId="0" xfId="0" applyFont="1" applyFill="1" applyAlignment="1">
      <alignment horizontal="left" vertical="center" wrapText="1"/>
    </xf>
    <xf numFmtId="0" fontId="62" fillId="16" borderId="14" xfId="0" applyFont="1" applyFill="1" applyBorder="1" applyAlignment="1">
      <alignment horizontal="center" vertical="center"/>
    </xf>
    <xf numFmtId="0" fontId="63" fillId="0" borderId="13" xfId="0" applyFont="1" applyBorder="1" applyAlignment="1">
      <alignment horizontal="left" vertical="center"/>
    </xf>
    <xf numFmtId="4" fontId="63" fillId="0" borderId="13" xfId="0" applyNumberFormat="1" applyFont="1" applyBorder="1" applyAlignment="1">
      <alignment horizontal="center" vertical="center"/>
    </xf>
    <xf numFmtId="10" fontId="64" fillId="0" borderId="13" xfId="0" applyNumberFormat="1" applyFont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10" fontId="65" fillId="0" borderId="13" xfId="0" applyNumberFormat="1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15" borderId="0" xfId="0" applyFont="1" applyFill="1" applyAlignment="1">
      <alignment vertical="center"/>
    </xf>
    <xf numFmtId="0" fontId="61" fillId="0" borderId="0" xfId="0" applyFont="1" applyAlignment="1">
      <alignment vertical="center"/>
    </xf>
    <xf numFmtId="0" fontId="61" fillId="15" borderId="0" xfId="0" applyFont="1" applyFill="1" applyAlignment="1">
      <alignment vertical="center"/>
    </xf>
    <xf numFmtId="0" fontId="61" fillId="15" borderId="30" xfId="0" applyFont="1" applyFill="1" applyBorder="1" applyAlignment="1">
      <alignment vertical="center"/>
    </xf>
    <xf numFmtId="0" fontId="66" fillId="0" borderId="0" xfId="0" applyFont="1" applyAlignment="1">
      <alignment vertical="center" wrapText="1"/>
    </xf>
    <xf numFmtId="0" fontId="61" fillId="14" borderId="0" xfId="0" applyFont="1" applyFill="1" applyAlignment="1">
      <alignment horizontal="center" vertical="center" wrapText="1"/>
    </xf>
    <xf numFmtId="0" fontId="66" fillId="14" borderId="0" xfId="0" applyFont="1" applyFill="1" applyAlignment="1">
      <alignment vertical="center" wrapText="1"/>
    </xf>
    <xf numFmtId="167" fontId="63" fillId="0" borderId="13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14" borderId="0" xfId="0" applyFont="1" applyFill="1" applyAlignment="1">
      <alignment horizontal="left" vertical="center" wrapText="1"/>
    </xf>
    <xf numFmtId="0" fontId="66" fillId="0" borderId="0" xfId="0" applyFont="1" applyAlignment="1">
      <alignment horizontal="left" vertical="center" wrapText="1"/>
    </xf>
    <xf numFmtId="10" fontId="33" fillId="13" borderId="12" xfId="2" applyNumberFormat="1" applyFont="1" applyFill="1" applyBorder="1" applyAlignment="1">
      <alignment horizontal="right" vertical="center"/>
    </xf>
    <xf numFmtId="10" fontId="33" fillId="12" borderId="12" xfId="2" applyNumberFormat="1" applyFont="1" applyFill="1" applyBorder="1" applyAlignment="1">
      <alignment horizontal="right" vertical="center"/>
    </xf>
    <xf numFmtId="10" fontId="72" fillId="0" borderId="13" xfId="0" applyNumberFormat="1" applyFont="1" applyBorder="1" applyAlignment="1">
      <alignment horizontal="center" vertical="center"/>
    </xf>
    <xf numFmtId="0" fontId="72" fillId="0" borderId="13" xfId="0" applyFont="1" applyBorder="1" applyAlignment="1">
      <alignment horizontal="center" vertical="center"/>
    </xf>
    <xf numFmtId="10" fontId="73" fillId="0" borderId="13" xfId="0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3" fillId="0" borderId="31" xfId="0" applyFont="1" applyBorder="1" applyAlignment="1">
      <alignment horizontal="left" vertical="center"/>
    </xf>
    <xf numFmtId="167" fontId="63" fillId="0" borderId="31" xfId="0" applyNumberFormat="1" applyFont="1" applyBorder="1" applyAlignment="1">
      <alignment horizontal="center" vertical="center"/>
    </xf>
    <xf numFmtId="10" fontId="65" fillId="0" borderId="31" xfId="0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/>
    </xf>
    <xf numFmtId="0" fontId="74" fillId="0" borderId="6" xfId="0" applyFont="1" applyBorder="1" applyAlignment="1">
      <alignment vertical="center" wrapText="1"/>
    </xf>
    <xf numFmtId="0" fontId="75" fillId="0" borderId="8" xfId="0" applyFont="1" applyBorder="1" applyAlignment="1">
      <alignment horizontal="center" vertical="center"/>
    </xf>
    <xf numFmtId="0" fontId="0" fillId="1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85" fillId="4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167" fontId="66" fillId="0" borderId="31" xfId="0" applyNumberFormat="1" applyFont="1" applyBorder="1" applyAlignment="1">
      <alignment horizontal="center" vertical="center"/>
    </xf>
    <xf numFmtId="10" fontId="90" fillId="0" borderId="31" xfId="0" applyNumberFormat="1" applyFont="1" applyBorder="1" applyAlignment="1">
      <alignment horizontal="center" vertical="center"/>
    </xf>
    <xf numFmtId="10" fontId="0" fillId="0" borderId="0" xfId="0" applyNumberFormat="1" applyAlignment="1">
      <alignment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13" borderId="41" xfId="0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99" fillId="0" borderId="0" xfId="0" applyFont="1" applyAlignment="1">
      <alignment vertical="top" wrapText="1"/>
    </xf>
    <xf numFmtId="0" fontId="113" fillId="0" borderId="13" xfId="0" applyFont="1" applyBorder="1" applyAlignment="1">
      <alignment horizontal="center" vertical="center"/>
    </xf>
    <xf numFmtId="0" fontId="116" fillId="25" borderId="51" xfId="0" applyFont="1" applyFill="1" applyBorder="1"/>
    <xf numFmtId="0" fontId="32" fillId="24" borderId="51" xfId="0" applyFont="1" applyFill="1" applyBorder="1" applyAlignment="1">
      <alignment horizontal="center" vertical="center"/>
    </xf>
    <xf numFmtId="0" fontId="115" fillId="20" borderId="0" xfId="0" applyFont="1" applyFill="1" applyAlignment="1">
      <alignment horizontal="center" vertical="center"/>
    </xf>
    <xf numFmtId="0" fontId="121" fillId="20" borderId="0" xfId="0" applyFont="1" applyFill="1"/>
    <xf numFmtId="0" fontId="117" fillId="0" borderId="51" xfId="0" applyFont="1" applyBorder="1" applyAlignment="1">
      <alignment vertical="center" wrapText="1"/>
    </xf>
    <xf numFmtId="0" fontId="3" fillId="0" borderId="51" xfId="0" applyFont="1" applyBorder="1"/>
    <xf numFmtId="0" fontId="32" fillId="24" borderId="52" xfId="0" applyFont="1" applyFill="1" applyBorder="1" applyAlignment="1">
      <alignment horizontal="left" vertical="center"/>
    </xf>
    <xf numFmtId="0" fontId="3" fillId="0" borderId="52" xfId="0" applyFont="1" applyBorder="1"/>
    <xf numFmtId="0" fontId="117" fillId="0" borderId="0" xfId="0" applyFont="1" applyAlignment="1">
      <alignment vertical="center" wrapText="1"/>
    </xf>
    <xf numFmtId="0" fontId="3" fillId="0" borderId="0" xfId="0" applyFont="1"/>
    <xf numFmtId="0" fontId="124" fillId="0" borderId="0" xfId="0" applyFont="1" applyAlignment="1">
      <alignment horizontal="center" vertical="center"/>
    </xf>
    <xf numFmtId="0" fontId="125" fillId="0" borderId="0" xfId="0" applyFont="1"/>
    <xf numFmtId="0" fontId="122" fillId="20" borderId="0" xfId="0" applyFont="1" applyFill="1" applyAlignment="1">
      <alignment horizontal="center" vertical="center"/>
    </xf>
    <xf numFmtId="0" fontId="123" fillId="20" borderId="0" xfId="0" applyFont="1" applyFill="1"/>
    <xf numFmtId="0" fontId="118" fillId="0" borderId="51" xfId="0" applyFont="1" applyBorder="1" applyAlignment="1">
      <alignment vertical="center"/>
    </xf>
    <xf numFmtId="0" fontId="114" fillId="20" borderId="0" xfId="0" applyFont="1" applyFill="1" applyAlignment="1">
      <alignment horizontal="center" vertical="center"/>
    </xf>
    <xf numFmtId="0" fontId="111" fillId="20" borderId="0" xfId="0" applyFont="1" applyFill="1"/>
    <xf numFmtId="0" fontId="120" fillId="22" borderId="0" xfId="0" applyFont="1" applyFill="1" applyAlignment="1">
      <alignment horizontal="center" vertical="center"/>
    </xf>
    <xf numFmtId="0" fontId="9" fillId="0" borderId="0" xfId="0" applyFont="1"/>
    <xf numFmtId="0" fontId="118" fillId="0" borderId="0" xfId="0" applyFont="1" applyAlignment="1">
      <alignment horizontal="center" vertical="center"/>
    </xf>
    <xf numFmtId="0" fontId="118" fillId="22" borderId="51" xfId="0" applyFont="1" applyFill="1" applyBorder="1" applyAlignment="1">
      <alignment horizontal="center" vertical="center" wrapText="1"/>
    </xf>
    <xf numFmtId="0" fontId="117" fillId="23" borderId="51" xfId="0" applyFont="1" applyFill="1" applyBorder="1" applyAlignment="1">
      <alignment horizontal="center" vertical="center" wrapText="1"/>
    </xf>
    <xf numFmtId="0" fontId="119" fillId="22" borderId="51" xfId="0" applyFont="1" applyFill="1" applyBorder="1" applyAlignment="1">
      <alignment horizontal="center" vertical="center" wrapText="1"/>
    </xf>
    <xf numFmtId="0" fontId="117" fillId="23" borderId="53" xfId="0" applyFont="1" applyFill="1" applyBorder="1" applyAlignment="1">
      <alignment horizontal="left" vertical="center" wrapText="1"/>
    </xf>
    <xf numFmtId="0" fontId="117" fillId="23" borderId="0" xfId="0" applyFont="1" applyFill="1" applyAlignment="1">
      <alignment horizontal="left" vertical="center" wrapText="1"/>
    </xf>
    <xf numFmtId="0" fontId="117" fillId="23" borderId="5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0" fontId="34" fillId="11" borderId="12" xfId="0" applyFont="1" applyFill="1" applyBorder="1" applyAlignment="1">
      <alignment horizontal="left" vertical="center" wrapText="1"/>
    </xf>
    <xf numFmtId="0" fontId="0" fillId="0" borderId="0" xfId="0"/>
    <xf numFmtId="0" fontId="33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37" fillId="6" borderId="0" xfId="0" applyFont="1" applyFill="1" applyAlignment="1">
      <alignment horizontal="left" vertical="center"/>
    </xf>
    <xf numFmtId="0" fontId="0" fillId="6" borderId="0" xfId="0" applyFill="1"/>
    <xf numFmtId="0" fontId="31" fillId="10" borderId="11" xfId="0" applyFont="1" applyFill="1" applyBorder="1" applyAlignment="1">
      <alignment horizontal="left" vertical="center" wrapText="1"/>
    </xf>
    <xf numFmtId="0" fontId="41" fillId="6" borderId="0" xfId="0" applyFont="1" applyFill="1" applyAlignment="1">
      <alignment horizontal="center" vertical="center" wrapText="1"/>
    </xf>
    <xf numFmtId="0" fontId="32" fillId="6" borderId="0" xfId="0" applyFont="1" applyFill="1" applyAlignment="1">
      <alignment horizontal="left" vertical="center"/>
    </xf>
    <xf numFmtId="0" fontId="30" fillId="9" borderId="10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0" fontId="42" fillId="0" borderId="0" xfId="0" applyFont="1"/>
    <xf numFmtId="0" fontId="61" fillId="0" borderId="0" xfId="0" applyFont="1" applyAlignment="1">
      <alignment horizontal="center" vertical="center"/>
    </xf>
    <xf numFmtId="0" fontId="71" fillId="4" borderId="0" xfId="0" applyFont="1" applyFill="1" applyAlignment="1">
      <alignment horizontal="center" vertical="center"/>
    </xf>
    <xf numFmtId="0" fontId="70" fillId="15" borderId="0" xfId="0" applyFont="1" applyFill="1" applyAlignment="1">
      <alignment horizontal="center" vertical="center"/>
    </xf>
    <xf numFmtId="0" fontId="47" fillId="15" borderId="15" xfId="0" applyFont="1" applyFill="1" applyBorder="1" applyAlignment="1">
      <alignment horizontal="center" vertical="center"/>
    </xf>
    <xf numFmtId="0" fontId="69" fillId="15" borderId="15" xfId="0" applyFont="1" applyFill="1" applyBorder="1" applyAlignment="1">
      <alignment horizontal="center" vertical="center"/>
    </xf>
    <xf numFmtId="0" fontId="66" fillId="0" borderId="13" xfId="0" applyFont="1" applyBorder="1" applyAlignment="1">
      <alignment horizontal="left" vertical="center" wrapText="1"/>
    </xf>
    <xf numFmtId="0" fontId="61" fillId="14" borderId="0" xfId="0" applyFont="1" applyFill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51" fillId="16" borderId="0" xfId="0" applyFont="1" applyFill="1" applyAlignment="1">
      <alignment horizontal="left" vertical="center" wrapText="1" indent="22"/>
    </xf>
    <xf numFmtId="0" fontId="66" fillId="14" borderId="0" xfId="0" applyFont="1" applyFill="1" applyAlignment="1">
      <alignment horizontal="left" vertical="top" wrapText="1"/>
    </xf>
    <xf numFmtId="0" fontId="61" fillId="15" borderId="0" xfId="0" applyFont="1" applyFill="1" applyAlignment="1">
      <alignment horizontal="center" vertical="center"/>
    </xf>
    <xf numFmtId="0" fontId="54" fillId="0" borderId="13" xfId="0" applyFont="1" applyBorder="1" applyAlignment="1">
      <alignment horizontal="left" vertical="center" wrapText="1"/>
    </xf>
    <xf numFmtId="0" fontId="47" fillId="15" borderId="0" xfId="0" applyFont="1" applyFill="1" applyAlignment="1">
      <alignment horizontal="center" vertical="center"/>
    </xf>
    <xf numFmtId="0" fontId="47" fillId="15" borderId="19" xfId="0" applyFont="1" applyFill="1" applyBorder="1" applyAlignment="1">
      <alignment horizontal="center" vertical="center"/>
    </xf>
    <xf numFmtId="0" fontId="47" fillId="15" borderId="20" xfId="0" applyFont="1" applyFill="1" applyBorder="1" applyAlignment="1">
      <alignment horizontal="center" vertical="center"/>
    </xf>
    <xf numFmtId="0" fontId="54" fillId="0" borderId="18" xfId="0" applyFont="1" applyBorder="1" applyAlignment="1">
      <alignment vertical="center" wrapText="1"/>
    </xf>
    <xf numFmtId="0" fontId="54" fillId="0" borderId="17" xfId="0" applyFont="1" applyBorder="1" applyAlignment="1">
      <alignment vertical="center" wrapText="1"/>
    </xf>
    <xf numFmtId="0" fontId="54" fillId="0" borderId="23" xfId="0" applyFont="1" applyBorder="1" applyAlignment="1">
      <alignment vertical="center" wrapText="1"/>
    </xf>
    <xf numFmtId="0" fontId="48" fillId="4" borderId="0" xfId="0" applyFont="1" applyFill="1" applyAlignment="1">
      <alignment horizontal="center" vertical="center"/>
    </xf>
    <xf numFmtId="0" fontId="54" fillId="0" borderId="18" xfId="0" applyFont="1" applyBorder="1" applyAlignment="1">
      <alignment horizontal="left" vertical="center" wrapText="1"/>
    </xf>
    <xf numFmtId="0" fontId="54" fillId="0" borderId="17" xfId="0" applyFont="1" applyBorder="1" applyAlignment="1">
      <alignment horizontal="left" vertical="center" wrapText="1"/>
    </xf>
    <xf numFmtId="0" fontId="54" fillId="0" borderId="16" xfId="0" applyFont="1" applyBorder="1" applyAlignment="1">
      <alignment horizontal="left" vertical="center" wrapText="1"/>
    </xf>
    <xf numFmtId="0" fontId="60" fillId="15" borderId="0" xfId="0" applyFont="1" applyFill="1" applyAlignment="1">
      <alignment horizontal="center" vertical="center"/>
    </xf>
    <xf numFmtId="0" fontId="53" fillId="15" borderId="0" xfId="0" applyFont="1" applyFill="1" applyAlignment="1">
      <alignment horizontal="center" vertical="center"/>
    </xf>
    <xf numFmtId="0" fontId="51" fillId="16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61" fillId="15" borderId="15" xfId="0" applyFont="1" applyFill="1" applyBorder="1" applyAlignment="1">
      <alignment horizontal="center" vertical="center"/>
    </xf>
    <xf numFmtId="0" fontId="54" fillId="14" borderId="0" xfId="0" applyFont="1" applyFill="1" applyAlignment="1">
      <alignment horizontal="left" vertical="center" wrapText="1"/>
    </xf>
    <xf numFmtId="0" fontId="57" fillId="14" borderId="0" xfId="0" applyFont="1" applyFill="1" applyAlignment="1">
      <alignment horizontal="center" vertical="center" wrapText="1"/>
    </xf>
    <xf numFmtId="0" fontId="68" fillId="15" borderId="0" xfId="0" applyFont="1" applyFill="1" applyAlignment="1">
      <alignment horizontal="center" vertical="center"/>
    </xf>
    <xf numFmtId="0" fontId="70" fillId="15" borderId="19" xfId="0" applyFont="1" applyFill="1" applyBorder="1" applyAlignment="1">
      <alignment horizontal="center" vertical="center"/>
    </xf>
    <xf numFmtId="0" fontId="66" fillId="14" borderId="26" xfId="0" applyFont="1" applyFill="1" applyBorder="1" applyAlignment="1">
      <alignment horizontal="center" vertical="center" wrapText="1"/>
    </xf>
    <xf numFmtId="0" fontId="66" fillId="14" borderId="15" xfId="0" applyFont="1" applyFill="1" applyBorder="1" applyAlignment="1">
      <alignment horizontal="center" vertical="center" wrapText="1"/>
    </xf>
    <xf numFmtId="0" fontId="66" fillId="14" borderId="25" xfId="0" applyFont="1" applyFill="1" applyBorder="1" applyAlignment="1">
      <alignment horizontal="center" vertical="center" wrapText="1"/>
    </xf>
    <xf numFmtId="0" fontId="66" fillId="14" borderId="0" xfId="0" applyFont="1" applyFill="1" applyAlignment="1">
      <alignment horizontal="center" vertical="center" wrapText="1"/>
    </xf>
    <xf numFmtId="0" fontId="55" fillId="16" borderId="0" xfId="0" applyFont="1" applyFill="1" applyAlignment="1">
      <alignment horizontal="left" vertical="center" wrapText="1" indent="26"/>
    </xf>
    <xf numFmtId="0" fontId="66" fillId="0" borderId="26" xfId="0" applyFont="1" applyBorder="1" applyAlignment="1">
      <alignment horizontal="left" vertical="top" wrapText="1"/>
    </xf>
    <xf numFmtId="0" fontId="66" fillId="0" borderId="15" xfId="0" applyFont="1" applyBorder="1" applyAlignment="1">
      <alignment horizontal="left" vertical="top" wrapText="1"/>
    </xf>
    <xf numFmtId="0" fontId="66" fillId="0" borderId="29" xfId="0" applyFont="1" applyBorder="1" applyAlignment="1">
      <alignment horizontal="left" vertical="top" wrapText="1"/>
    </xf>
    <xf numFmtId="0" fontId="66" fillId="0" borderId="28" xfId="0" applyFont="1" applyBorder="1" applyAlignment="1">
      <alignment horizontal="left" vertical="top" wrapText="1"/>
    </xf>
    <xf numFmtId="0" fontId="66" fillId="0" borderId="19" xfId="0" applyFont="1" applyBorder="1" applyAlignment="1">
      <alignment horizontal="left" vertical="top" wrapText="1"/>
    </xf>
    <xf numFmtId="0" fontId="66" fillId="0" borderId="27" xfId="0" applyFont="1" applyBorder="1" applyAlignment="1">
      <alignment horizontal="left" vertical="top" wrapText="1"/>
    </xf>
    <xf numFmtId="0" fontId="70" fillId="15" borderId="18" xfId="0" applyFont="1" applyFill="1" applyBorder="1" applyAlignment="1">
      <alignment horizontal="center" vertical="center"/>
    </xf>
    <xf numFmtId="0" fontId="70" fillId="15" borderId="17" xfId="0" applyFont="1" applyFill="1" applyBorder="1" applyAlignment="1">
      <alignment horizontal="center" vertical="center"/>
    </xf>
    <xf numFmtId="0" fontId="66" fillId="0" borderId="18" xfId="0" applyFont="1" applyBorder="1" applyAlignment="1">
      <alignment horizontal="left" vertical="center" wrapText="1"/>
    </xf>
    <xf numFmtId="0" fontId="66" fillId="0" borderId="17" xfId="0" applyFont="1" applyBorder="1" applyAlignment="1">
      <alignment horizontal="left" vertical="center" wrapText="1"/>
    </xf>
    <xf numFmtId="0" fontId="66" fillId="0" borderId="16" xfId="0" applyFont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/>
    <xf numFmtId="0" fontId="12" fillId="6" borderId="0" xfId="0" applyFont="1" applyFill="1" applyAlignment="1">
      <alignment horizontal="center" vertical="center" wrapText="1"/>
    </xf>
    <xf numFmtId="0" fontId="13" fillId="0" borderId="0" xfId="0" applyFont="1"/>
    <xf numFmtId="0" fontId="14" fillId="7" borderId="0" xfId="0" applyFont="1" applyFill="1" applyAlignment="1">
      <alignment vertical="center" wrapText="1"/>
    </xf>
    <xf numFmtId="0" fontId="25" fillId="0" borderId="0" xfId="0" applyFont="1"/>
    <xf numFmtId="0" fontId="26" fillId="0" borderId="0" xfId="0" applyFont="1" applyAlignment="1">
      <alignment horizontal="right"/>
    </xf>
    <xf numFmtId="0" fontId="17" fillId="8" borderId="0" xfId="0" applyFont="1" applyFill="1" applyAlignment="1">
      <alignment vertical="center"/>
    </xf>
    <xf numFmtId="0" fontId="18" fillId="8" borderId="6" xfId="0" applyFont="1" applyFill="1" applyBorder="1" applyAlignment="1">
      <alignment vertical="center" wrapText="1"/>
    </xf>
    <xf numFmtId="0" fontId="0" fillId="0" borderId="6" xfId="0" applyBorder="1"/>
    <xf numFmtId="0" fontId="22" fillId="8" borderId="0" xfId="0" applyFont="1" applyFill="1" applyAlignment="1">
      <alignment horizontal="center" vertical="center"/>
    </xf>
    <xf numFmtId="0" fontId="23" fillId="5" borderId="0" xfId="0" applyFont="1" applyFill="1" applyAlignment="1">
      <alignment vertical="center" wrapText="1"/>
    </xf>
    <xf numFmtId="0" fontId="24" fillId="5" borderId="0" xfId="0" applyFont="1" applyFill="1" applyAlignment="1">
      <alignment vertical="center" wrapText="1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100" fillId="0" borderId="0" xfId="0" applyFont="1" applyAlignment="1">
      <alignment horizontal="center" vertical="top"/>
    </xf>
    <xf numFmtId="0" fontId="100" fillId="0" borderId="44" xfId="0" applyFont="1" applyBorder="1" applyAlignment="1">
      <alignment horizontal="center" vertical="top"/>
    </xf>
    <xf numFmtId="0" fontId="100" fillId="0" borderId="0" xfId="0" applyFont="1" applyAlignment="1">
      <alignment horizontal="center" vertical="center" wrapText="1"/>
    </xf>
    <xf numFmtId="0" fontId="100" fillId="0" borderId="41" xfId="0" applyFont="1" applyBorder="1" applyAlignment="1">
      <alignment horizontal="center" vertical="center" wrapText="1"/>
    </xf>
    <xf numFmtId="0" fontId="100" fillId="0" borderId="44" xfId="0" applyFont="1" applyBorder="1" applyAlignment="1">
      <alignment horizontal="center" vertical="center" wrapText="1"/>
    </xf>
    <xf numFmtId="0" fontId="100" fillId="0" borderId="45" xfId="0" applyFont="1" applyBorder="1" applyAlignment="1">
      <alignment horizontal="center" vertical="center" wrapText="1"/>
    </xf>
    <xf numFmtId="10" fontId="107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10" fontId="108" fillId="0" borderId="0" xfId="0" applyNumberFormat="1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7" fillId="0" borderId="41" xfId="0" applyFont="1" applyBorder="1" applyAlignment="1">
      <alignment horizontal="center" vertical="center"/>
    </xf>
    <xf numFmtId="10" fontId="107" fillId="0" borderId="41" xfId="0" applyNumberFormat="1" applyFont="1" applyBorder="1" applyAlignment="1">
      <alignment horizontal="center" vertical="center"/>
    </xf>
    <xf numFmtId="10" fontId="108" fillId="0" borderId="41" xfId="0" applyNumberFormat="1" applyFont="1" applyBorder="1" applyAlignment="1">
      <alignment horizontal="center" vertical="center"/>
    </xf>
    <xf numFmtId="0" fontId="106" fillId="2" borderId="37" xfId="0" applyFont="1" applyFill="1" applyBorder="1" applyAlignment="1">
      <alignment horizontal="center" vertical="center"/>
    </xf>
    <xf numFmtId="0" fontId="106" fillId="2" borderId="0" xfId="0" applyFont="1" applyFill="1" applyAlignment="1">
      <alignment horizontal="center" vertical="center"/>
    </xf>
    <xf numFmtId="0" fontId="106" fillId="2" borderId="4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52" fillId="13" borderId="3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94" fillId="12" borderId="40" xfId="0" applyFont="1" applyFill="1" applyBorder="1" applyAlignment="1">
      <alignment horizontal="center" vertical="center" wrapText="1"/>
    </xf>
    <xf numFmtId="0" fontId="94" fillId="12" borderId="39" xfId="0" applyFont="1" applyFill="1" applyBorder="1" applyAlignment="1">
      <alignment horizontal="center" vertical="center" wrapText="1"/>
    </xf>
    <xf numFmtId="0" fontId="94" fillId="12" borderId="38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169" fontId="96" fillId="12" borderId="37" xfId="0" applyNumberFormat="1" applyFont="1" applyFill="1" applyBorder="1" applyAlignment="1">
      <alignment horizontal="center" vertical="center" wrapText="1"/>
    </xf>
    <xf numFmtId="169" fontId="96" fillId="12" borderId="0" xfId="0" applyNumberFormat="1" applyFont="1" applyFill="1" applyAlignment="1">
      <alignment horizontal="center" vertical="center" wrapText="1"/>
    </xf>
    <xf numFmtId="169" fontId="96" fillId="12" borderId="36" xfId="0" applyNumberFormat="1" applyFont="1" applyFill="1" applyBorder="1" applyAlignment="1">
      <alignment horizontal="center" vertical="center" wrapText="1"/>
    </xf>
    <xf numFmtId="0" fontId="97" fillId="12" borderId="37" xfId="0" applyFont="1" applyFill="1" applyBorder="1" applyAlignment="1">
      <alignment horizontal="center" vertical="center" wrapText="1"/>
    </xf>
    <xf numFmtId="0" fontId="97" fillId="12" borderId="0" xfId="0" applyFont="1" applyFill="1" applyAlignment="1">
      <alignment horizontal="center" vertical="center" wrapText="1"/>
    </xf>
    <xf numFmtId="0" fontId="97" fillId="12" borderId="36" xfId="0" applyFont="1" applyFill="1" applyBorder="1" applyAlignment="1">
      <alignment horizontal="center" vertical="center" wrapText="1"/>
    </xf>
    <xf numFmtId="0" fontId="95" fillId="12" borderId="35" xfId="0" applyFont="1" applyFill="1" applyBorder="1" applyAlignment="1">
      <alignment horizontal="center" vertical="center" wrapText="1"/>
    </xf>
    <xf numFmtId="0" fontId="95" fillId="12" borderId="34" xfId="0" applyFont="1" applyFill="1" applyBorder="1" applyAlignment="1">
      <alignment horizontal="center" vertical="center" wrapText="1"/>
    </xf>
    <xf numFmtId="0" fontId="95" fillId="12" borderId="33" xfId="0" applyFont="1" applyFill="1" applyBorder="1" applyAlignment="1">
      <alignment horizontal="center" vertical="center" wrapText="1"/>
    </xf>
    <xf numFmtId="0" fontId="83" fillId="4" borderId="0" xfId="0" applyFont="1" applyFill="1" applyAlignment="1">
      <alignment vertical="center"/>
    </xf>
    <xf numFmtId="0" fontId="0" fillId="4" borderId="0" xfId="0" applyFill="1"/>
    <xf numFmtId="0" fontId="82" fillId="12" borderId="40" xfId="0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38" xfId="0" applyBorder="1"/>
    <xf numFmtId="0" fontId="0" fillId="0" borderId="37" xfId="0" applyBorder="1"/>
    <xf numFmtId="0" fontId="0" fillId="0" borderId="36" xfId="0" applyBorder="1"/>
    <xf numFmtId="0" fontId="0" fillId="0" borderId="35" xfId="0" applyBorder="1"/>
    <xf numFmtId="0" fontId="0" fillId="0" borderId="34" xfId="0" applyBorder="1"/>
    <xf numFmtId="0" fontId="0" fillId="0" borderId="33" xfId="0" applyBorder="1"/>
    <xf numFmtId="169" fontId="93" fillId="4" borderId="0" xfId="0" applyNumberFormat="1" applyFont="1" applyFill="1" applyAlignment="1">
      <alignment horizontal="center"/>
    </xf>
    <xf numFmtId="0" fontId="87" fillId="4" borderId="0" xfId="0" applyFont="1" applyFill="1" applyAlignment="1">
      <alignment horizontal="center"/>
    </xf>
    <xf numFmtId="10" fontId="93" fillId="4" borderId="0" xfId="0" applyNumberFormat="1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8" fillId="20" borderId="0" xfId="0" applyFont="1" applyFill="1" applyAlignment="1">
      <alignment horizontal="left" vertical="center" wrapText="1" indent="23"/>
    </xf>
    <xf numFmtId="0" fontId="88" fillId="0" borderId="0" xfId="0" applyFont="1" applyAlignment="1">
      <alignment horizontal="left" vertical="center" wrapText="1"/>
    </xf>
    <xf numFmtId="0" fontId="87" fillId="4" borderId="0" xfId="0" applyFont="1" applyFill="1" applyAlignment="1">
      <alignment horizontal="center" vertical="center"/>
    </xf>
    <xf numFmtId="0" fontId="84" fillId="4" borderId="0" xfId="0" applyFont="1" applyFill="1" applyAlignment="1">
      <alignment horizontal="left" vertical="center"/>
    </xf>
    <xf numFmtId="0" fontId="92" fillId="4" borderId="0" xfId="0" applyFont="1" applyFill="1" applyAlignment="1">
      <alignment horizontal="center"/>
    </xf>
    <xf numFmtId="169" fontId="93" fillId="4" borderId="0" xfId="1" applyNumberFormat="1" applyFont="1" applyFill="1" applyAlignment="1">
      <alignment horizontal="center"/>
    </xf>
    <xf numFmtId="0" fontId="76" fillId="13" borderId="0" xfId="0" applyFont="1" applyFill="1" applyAlignment="1">
      <alignment horizontal="center" vertical="center"/>
    </xf>
    <xf numFmtId="0" fontId="0" fillId="19" borderId="0" xfId="0" applyFill="1"/>
    <xf numFmtId="0" fontId="78" fillId="17" borderId="0" xfId="0" applyFont="1" applyFill="1" applyAlignment="1">
      <alignment horizontal="center" vertical="center" wrapText="1"/>
    </xf>
    <xf numFmtId="0" fontId="79" fillId="18" borderId="50" xfId="0" applyFont="1" applyFill="1" applyBorder="1" applyAlignment="1">
      <alignment horizontal="left" vertical="top" wrapText="1"/>
    </xf>
    <xf numFmtId="0" fontId="0" fillId="0" borderId="46" xfId="0" applyBorder="1"/>
    <xf numFmtId="0" fontId="0" fillId="0" borderId="47" xfId="0" applyBorder="1"/>
    <xf numFmtId="0" fontId="0" fillId="0" borderId="44" xfId="0" applyBorder="1"/>
    <xf numFmtId="0" fontId="81" fillId="17" borderId="0" xfId="0" applyFont="1" applyFill="1" applyAlignment="1">
      <alignment horizontal="left" vertical="center"/>
    </xf>
    <xf numFmtId="0" fontId="80" fillId="18" borderId="32" xfId="0" applyFont="1" applyFill="1" applyBorder="1" applyAlignment="1">
      <alignment horizontal="left" vertical="top" wrapText="1"/>
    </xf>
    <xf numFmtId="0" fontId="77" fillId="13" borderId="0" xfId="0" applyFont="1" applyFill="1" applyAlignment="1">
      <alignment horizontal="left" vertical="center" wrapText="1"/>
    </xf>
    <xf numFmtId="0" fontId="103" fillId="12" borderId="40" xfId="0" applyFont="1" applyFill="1" applyBorder="1" applyAlignment="1">
      <alignment horizontal="left" vertical="center" wrapText="1"/>
    </xf>
    <xf numFmtId="0" fontId="101" fillId="0" borderId="39" xfId="0" applyFont="1" applyBorder="1" applyAlignment="1">
      <alignment horizontal="left"/>
    </xf>
    <xf numFmtId="0" fontId="101" fillId="0" borderId="38" xfId="0" applyFont="1" applyBorder="1" applyAlignment="1">
      <alignment horizontal="left"/>
    </xf>
    <xf numFmtId="0" fontId="101" fillId="0" borderId="37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1" fillId="0" borderId="36" xfId="0" applyFont="1" applyBorder="1" applyAlignment="1">
      <alignment horizontal="left"/>
    </xf>
    <xf numFmtId="0" fontId="101" fillId="0" borderId="35" xfId="0" applyFont="1" applyBorder="1" applyAlignment="1">
      <alignment horizontal="left"/>
    </xf>
    <xf numFmtId="0" fontId="101" fillId="0" borderId="34" xfId="0" applyFont="1" applyBorder="1" applyAlignment="1">
      <alignment horizontal="left"/>
    </xf>
    <xf numFmtId="0" fontId="101" fillId="0" borderId="33" xfId="0" applyFont="1" applyBorder="1" applyAlignment="1">
      <alignment horizontal="left"/>
    </xf>
    <xf numFmtId="0" fontId="78" fillId="21" borderId="0" xfId="0" applyFont="1" applyFill="1" applyAlignment="1">
      <alignment horizontal="center" vertical="center"/>
    </xf>
    <xf numFmtId="0" fontId="0" fillId="21" borderId="0" xfId="0" applyFill="1"/>
    <xf numFmtId="0" fontId="91" fillId="4" borderId="0" xfId="0" applyFont="1" applyFill="1" applyAlignment="1">
      <alignment horizontal="center" vertical="center"/>
    </xf>
    <xf numFmtId="0" fontId="105" fillId="21" borderId="0" xfId="0" applyFont="1" applyFill="1" applyAlignment="1">
      <alignment horizontal="center" vertical="center" wrapText="1"/>
    </xf>
  </cellXfs>
  <cellStyles count="4">
    <cellStyle name="Currency" xfId="1" builtinId="4"/>
    <cellStyle name="Currency 2" xfId="3" xr:uid="{389B76EF-9050-42C1-A01F-E94D472597F3}"/>
    <cellStyle name="Normal" xfId="0" builtinId="0"/>
    <cellStyle name="Percent 2" xfId="2" xr:uid="{3DD54A1B-F75C-4D80-A765-D21F3A1430B0}"/>
  </cellStyles>
  <dxfs count="48">
    <dxf>
      <font>
        <b/>
        <color rgb="FFD62828"/>
      </font>
    </dxf>
    <dxf>
      <font>
        <b/>
        <color rgb="FF008A4E"/>
      </font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numFmt numFmtId="14" formatCode="0.00%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numFmt numFmtId="14" formatCode="0.00%"/>
      <alignment horizontal="right" vertical="center" wrapText="1"/>
    </dxf>
    <dxf>
      <numFmt numFmtId="2" formatCode="0.00"/>
      <alignment horizontal="right" vertical="center" wrapText="1"/>
    </dxf>
    <dxf>
      <numFmt numFmtId="2" formatCode="0.00"/>
      <alignment horizontal="right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Aptos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wrapText="1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'!$I$1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'!$H$2:$H$4</c:f>
              <c:strCache>
                <c:ptCount val="3"/>
                <c:pt idx="0">
                  <c:v>Revenue</c:v>
                </c:pt>
                <c:pt idx="1">
                  <c:v>PBT</c:v>
                </c:pt>
                <c:pt idx="2">
                  <c:v>PAT</c:v>
                </c:pt>
              </c:strCache>
            </c:strRef>
          </c:cat>
          <c:val>
            <c:numRef>
              <c:f>'Dashboard Data Engine '!$I$2:$I$4</c:f>
              <c:numCache>
                <c:formatCode>#,##0.00</c:formatCode>
                <c:ptCount val="3"/>
                <c:pt idx="0">
                  <c:v>24143.06</c:v>
                </c:pt>
                <c:pt idx="1">
                  <c:v>1483.45</c:v>
                </c:pt>
                <c:pt idx="2">
                  <c:v>1099.43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4-45B3-91A6-EECBC42C7C48}"/>
            </c:ext>
          </c:extLst>
        </c:ser>
        <c:ser>
          <c:idx val="1"/>
          <c:order val="1"/>
          <c:tx>
            <c:strRef>
              <c:f>'Dashboard Data Engine '!$J$1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'!$H$2:$H$4</c:f>
              <c:strCache>
                <c:ptCount val="3"/>
                <c:pt idx="0">
                  <c:v>Revenue</c:v>
                </c:pt>
                <c:pt idx="1">
                  <c:v>PBT</c:v>
                </c:pt>
                <c:pt idx="2">
                  <c:v>PAT</c:v>
                </c:pt>
              </c:strCache>
            </c:strRef>
          </c:cat>
          <c:val>
            <c:numRef>
              <c:f>'Dashboard Data Engine '!$J$2:$J$4</c:f>
              <c:numCache>
                <c:formatCode>#,##0.00</c:formatCode>
                <c:ptCount val="3"/>
                <c:pt idx="0">
                  <c:v>30976.27</c:v>
                </c:pt>
                <c:pt idx="1">
                  <c:v>2064.12</c:v>
                </c:pt>
                <c:pt idx="2">
                  <c:v>1492.4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4-45B3-91A6-EECBC42C7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36335"/>
        <c:axId val="158918095"/>
      </c:barChart>
      <c:catAx>
        <c:axId val="15203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8095"/>
        <c:crosses val="autoZero"/>
        <c:auto val="1"/>
        <c:lblAlgn val="ctr"/>
        <c:lblOffset val="100"/>
        <c:noMultiLvlLbl val="0"/>
      </c:catAx>
      <c:valAx>
        <c:axId val="1589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633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Cash Flow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'!$I$11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'!$H$11:$H$13</c:f>
              <c:strCache>
                <c:ptCount val="3"/>
                <c:pt idx="0">
                  <c:v>Metric</c:v>
                </c:pt>
                <c:pt idx="1">
                  <c:v>Operating Cash Flow</c:v>
                </c:pt>
                <c:pt idx="2">
                  <c:v>Investing Cash Flow</c:v>
                </c:pt>
              </c:strCache>
            </c:strRef>
          </c:cat>
          <c:val>
            <c:numRef>
              <c:f>'Dashboard Data Engine '!$I$11:$I$13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1375.14</c:v>
                </c:pt>
                <c:pt idx="2">
                  <c:v>-1110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B-43B1-B7C4-05397558ACDF}"/>
            </c:ext>
          </c:extLst>
        </c:ser>
        <c:ser>
          <c:idx val="1"/>
          <c:order val="1"/>
          <c:tx>
            <c:strRef>
              <c:f>'Dashboard Data Engine '!$J$11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'!$H$11:$H$13</c:f>
              <c:strCache>
                <c:ptCount val="3"/>
                <c:pt idx="0">
                  <c:v>Metric</c:v>
                </c:pt>
                <c:pt idx="1">
                  <c:v>Operating Cash Flow</c:v>
                </c:pt>
                <c:pt idx="2">
                  <c:v>Investing Cash Flow</c:v>
                </c:pt>
              </c:strCache>
            </c:strRef>
          </c:cat>
          <c:val>
            <c:numRef>
              <c:f>'Dashboard Data Engine '!$J$11:$J$13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1372.35</c:v>
                </c:pt>
                <c:pt idx="2">
                  <c:v>-1289.49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B-43B1-B7C4-05397558A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120703"/>
        <c:axId val="158880655"/>
      </c:barChart>
      <c:catAx>
        <c:axId val="374120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880655"/>
        <c:crosses val="autoZero"/>
        <c:auto val="1"/>
        <c:lblAlgn val="ctr"/>
        <c:lblOffset val="100"/>
        <c:noMultiLvlLbl val="0"/>
      </c:catAx>
      <c:valAx>
        <c:axId val="1588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2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Working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'!$I$26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'!$H$17:$H$19</c:f>
              <c:strCache>
                <c:ptCount val="3"/>
                <c:pt idx="0">
                  <c:v>Inventory</c:v>
                </c:pt>
                <c:pt idx="1">
                  <c:v>Trade Receivables</c:v>
                </c:pt>
                <c:pt idx="2">
                  <c:v>Trade Payables</c:v>
                </c:pt>
              </c:strCache>
            </c:strRef>
          </c:cat>
          <c:val>
            <c:numRef>
              <c:f>'Dashboard Data Engine '!$I$17:$I$19</c:f>
              <c:numCache>
                <c:formatCode>General</c:formatCode>
                <c:ptCount val="3"/>
                <c:pt idx="0" formatCode="#,##0.00">
                  <c:v>2248.2800000000002</c:v>
                </c:pt>
                <c:pt idx="1">
                  <c:v>43.58</c:v>
                </c:pt>
                <c:pt idx="2">
                  <c:v>578.13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0-4C4B-BB3A-557C04FDDAC0}"/>
            </c:ext>
          </c:extLst>
        </c:ser>
        <c:ser>
          <c:idx val="1"/>
          <c:order val="1"/>
          <c:tx>
            <c:strRef>
              <c:f>'Dashboard Data Engine '!$J$26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'!$H$17:$H$19</c:f>
              <c:strCache>
                <c:ptCount val="3"/>
                <c:pt idx="0">
                  <c:v>Inventory</c:v>
                </c:pt>
                <c:pt idx="1">
                  <c:v>Trade Receivables</c:v>
                </c:pt>
                <c:pt idx="2">
                  <c:v>Trade Payables</c:v>
                </c:pt>
              </c:strCache>
            </c:strRef>
          </c:cat>
          <c:val>
            <c:numRef>
              <c:f>'Dashboard Data Engine '!$J$17:$J$19</c:f>
              <c:numCache>
                <c:formatCode>General</c:formatCode>
                <c:ptCount val="3"/>
                <c:pt idx="0" formatCode="#,##0.00">
                  <c:v>2742.66</c:v>
                </c:pt>
                <c:pt idx="1">
                  <c:v>66.89</c:v>
                </c:pt>
                <c:pt idx="2">
                  <c:v>589.20000000000005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0-4C4B-BB3A-557C04FD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407119"/>
        <c:axId val="158975215"/>
      </c:barChart>
      <c:catAx>
        <c:axId val="175740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5215"/>
        <c:crosses val="autoZero"/>
        <c:auto val="1"/>
        <c:lblAlgn val="ctr"/>
        <c:lblOffset val="100"/>
        <c:noMultiLvlLbl val="0"/>
      </c:catAx>
      <c:valAx>
        <c:axId val="1589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40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Profitability Margins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'!$I$6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'!$H$7:$H$9</c:f>
              <c:strCache>
                <c:ptCount val="3"/>
                <c:pt idx="0">
                  <c:v>Gross Profit Margin</c:v>
                </c:pt>
                <c:pt idx="1">
                  <c:v>PBT Margin</c:v>
                </c:pt>
                <c:pt idx="2">
                  <c:v>PAT Margin</c:v>
                </c:pt>
              </c:strCache>
            </c:strRef>
          </c:cat>
          <c:val>
            <c:numRef>
              <c:f>'Dashboard Data Engine '!$I$7:$I$9</c:f>
              <c:numCache>
                <c:formatCode>0.00%</c:formatCode>
                <c:ptCount val="3"/>
                <c:pt idx="0">
                  <c:v>0.14860000000000001</c:v>
                </c:pt>
                <c:pt idx="1">
                  <c:v>6.1400000000000003E-2</c:v>
                </c:pt>
                <c:pt idx="2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6-4E6B-B6EC-350E8D3AC36C}"/>
            </c:ext>
          </c:extLst>
        </c:ser>
        <c:ser>
          <c:idx val="1"/>
          <c:order val="1"/>
          <c:tx>
            <c:strRef>
              <c:f>'Dashboard Data Engine '!$J$6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'!$H$7:$H$9</c:f>
              <c:strCache>
                <c:ptCount val="3"/>
                <c:pt idx="0">
                  <c:v>Gross Profit Margin</c:v>
                </c:pt>
                <c:pt idx="1">
                  <c:v>PBT Margin</c:v>
                </c:pt>
                <c:pt idx="2">
                  <c:v>PAT Margin</c:v>
                </c:pt>
              </c:strCache>
            </c:strRef>
          </c:cat>
          <c:val>
            <c:numRef>
              <c:f>'Dashboard Data Engine '!$J$7:$J$9</c:f>
              <c:numCache>
                <c:formatCode>0.00%</c:formatCode>
                <c:ptCount val="3"/>
                <c:pt idx="0">
                  <c:v>0.14779999999999999</c:v>
                </c:pt>
                <c:pt idx="1">
                  <c:v>6.6600000000000006E-2</c:v>
                </c:pt>
                <c:pt idx="2">
                  <c:v>4.82E-2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6-4E6B-B6EC-350E8D3A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946943"/>
        <c:axId val="892455663"/>
      </c:barChart>
      <c:catAx>
        <c:axId val="138094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55663"/>
        <c:crosses val="autoZero"/>
        <c:auto val="1"/>
        <c:lblAlgn val="ctr"/>
        <c:lblOffset val="100"/>
        <c:noMultiLvlLbl val="0"/>
      </c:catAx>
      <c:valAx>
        <c:axId val="8924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4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Liquidity Ratios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'!$I$21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'!$H$22:$H$24</c:f>
              <c:strCache>
                <c:ptCount val="3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</c:strCache>
            </c:strRef>
          </c:cat>
          <c:val>
            <c:numRef>
              <c:f>'Dashboard Data Engine '!$I$22:$I$24</c:f>
              <c:numCache>
                <c:formatCode>General</c:formatCode>
                <c:ptCount val="3"/>
                <c:pt idx="0">
                  <c:v>3.6726999999999999</c:v>
                </c:pt>
                <c:pt idx="1">
                  <c:v>1.6394</c:v>
                </c:pt>
                <c:pt idx="2">
                  <c:v>0.17319999999999999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5-4EB4-8432-0FA39C6A896C}"/>
            </c:ext>
          </c:extLst>
        </c:ser>
        <c:ser>
          <c:idx val="1"/>
          <c:order val="1"/>
          <c:tx>
            <c:strRef>
              <c:f>'Dashboard Data Engine '!$J$21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'!$H$22:$H$24</c:f>
              <c:strCache>
                <c:ptCount val="3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</c:strCache>
            </c:strRef>
          </c:cat>
          <c:val>
            <c:numRef>
              <c:f>'Dashboard Data Engine '!$J$22:$J$24</c:f>
              <c:numCache>
                <c:formatCode>General</c:formatCode>
                <c:ptCount val="3"/>
                <c:pt idx="0">
                  <c:v>2.8260000000000001</c:v>
                </c:pt>
                <c:pt idx="1">
                  <c:v>0.57469999999999999</c:v>
                </c:pt>
                <c:pt idx="2">
                  <c:v>7.8100000000000003E-2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5-4EB4-8432-0FA39C6A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946015"/>
        <c:axId val="1382950031"/>
      </c:barChart>
      <c:catAx>
        <c:axId val="13809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50031"/>
        <c:crosses val="autoZero"/>
        <c:auto val="1"/>
        <c:lblAlgn val="ctr"/>
        <c:lblOffset val="100"/>
        <c:noMultiLvlLbl val="0"/>
      </c:catAx>
      <c:valAx>
        <c:axId val="138295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Efficiency Ratios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'!$I$26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'!$H$27:$H$29</c:f>
              <c:strCache>
                <c:ptCount val="3"/>
                <c:pt idx="0">
                  <c:v>Inventory Turnover</c:v>
                </c:pt>
                <c:pt idx="1">
                  <c:v>Payables Turnover</c:v>
                </c:pt>
                <c:pt idx="2">
                  <c:v>Asset Turnover</c:v>
                </c:pt>
              </c:strCache>
            </c:strRef>
          </c:cat>
          <c:val>
            <c:numRef>
              <c:f>'Dashboard Data Engine '!$I$27:$I$29</c:f>
              <c:numCache>
                <c:formatCode>General</c:formatCode>
                <c:ptCount val="3"/>
                <c:pt idx="0">
                  <c:v>9.798</c:v>
                </c:pt>
                <c:pt idx="1">
                  <c:v>41.233600000000003</c:v>
                </c:pt>
                <c:pt idx="2">
                  <c:v>1.8765000000000001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5-4A58-8F2F-ECC63F9754AC}"/>
            </c:ext>
          </c:extLst>
        </c:ser>
        <c:ser>
          <c:idx val="1"/>
          <c:order val="1"/>
          <c:tx>
            <c:strRef>
              <c:f>'Dashboard Data Engine '!$J$26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'!$H$27:$H$29</c:f>
              <c:strCache>
                <c:ptCount val="3"/>
                <c:pt idx="0">
                  <c:v>Inventory Turnover</c:v>
                </c:pt>
                <c:pt idx="1">
                  <c:v>Payables Turnover</c:v>
                </c:pt>
                <c:pt idx="2">
                  <c:v>Asset Turnover</c:v>
                </c:pt>
              </c:strCache>
            </c:strRef>
          </c:cat>
          <c:val>
            <c:numRef>
              <c:f>'Dashboard Data Engine '!$J$27:$J$29</c:f>
              <c:numCache>
                <c:formatCode>General</c:formatCode>
                <c:ptCount val="3"/>
                <c:pt idx="0">
                  <c:v>10.578099999999999</c:v>
                </c:pt>
                <c:pt idx="1">
                  <c:v>46.073999999999998</c:v>
                </c:pt>
                <c:pt idx="2">
                  <c:v>2.1269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5-4A58-8F2F-ECC63F975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345807"/>
        <c:axId val="1382921231"/>
      </c:barChart>
      <c:catAx>
        <c:axId val="138634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21231"/>
        <c:crosses val="autoZero"/>
        <c:auto val="1"/>
        <c:lblAlgn val="ctr"/>
        <c:lblOffset val="100"/>
        <c:noMultiLvlLbl val="0"/>
      </c:catAx>
      <c:valAx>
        <c:axId val="13829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34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Balance Sheet Size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'!$H$32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'!$I$31:$J$31</c:f>
              <c:strCache>
                <c:ptCount val="2"/>
                <c:pt idx="0">
                  <c:v>FY2021</c:v>
                </c:pt>
                <c:pt idx="1">
                  <c:v>FY2022</c:v>
                </c:pt>
              </c:strCache>
            </c:strRef>
          </c:cat>
          <c:val>
            <c:numRef>
              <c:f>'Dashboard Data Engine '!$I$32:$J$32</c:f>
              <c:numCache>
                <c:formatCode>#,##0.00</c:formatCode>
                <c:ptCount val="2"/>
                <c:pt idx="0">
                  <c:v>13655.97</c:v>
                </c:pt>
                <c:pt idx="1">
                  <c:v>15472.64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2-45C6-86CE-8C006DAB5736}"/>
            </c:ext>
          </c:extLst>
        </c:ser>
        <c:ser>
          <c:idx val="1"/>
          <c:order val="1"/>
          <c:tx>
            <c:strRef>
              <c:f>'Dashboard Data Engine '!$H$33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'!$I$31:$J$31</c:f>
              <c:strCache>
                <c:ptCount val="2"/>
                <c:pt idx="0">
                  <c:v>FY2021</c:v>
                </c:pt>
                <c:pt idx="1">
                  <c:v>FY2022</c:v>
                </c:pt>
              </c:strCache>
            </c:strRef>
          </c:cat>
          <c:val>
            <c:numRef>
              <c:f>'Dashboard Data Engine '!$I$33:$J$33</c:f>
              <c:numCache>
                <c:formatCode>#,##0.00</c:formatCode>
                <c:ptCount val="2"/>
                <c:pt idx="0">
                  <c:v>12184.11</c:v>
                </c:pt>
                <c:pt idx="1">
                  <c:v>13677.89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2-45C6-86CE-8C006DAB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679215"/>
        <c:axId val="1382998991"/>
      </c:barChart>
      <c:catAx>
        <c:axId val="152967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98991"/>
        <c:crosses val="autoZero"/>
        <c:auto val="1"/>
        <c:lblAlgn val="ctr"/>
        <c:lblOffset val="100"/>
        <c:noMultiLvlLbl val="0"/>
      </c:catAx>
      <c:valAx>
        <c:axId val="138299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7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Return Ratios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 Engine '!$I$35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'!$H$36:$H$38</c:f>
              <c:strCache>
                <c:ptCount val="3"/>
                <c:pt idx="0">
                  <c:v>ROA</c:v>
                </c:pt>
                <c:pt idx="1">
                  <c:v>ROE</c:v>
                </c:pt>
                <c:pt idx="2">
                  <c:v>ROCE</c:v>
                </c:pt>
              </c:strCache>
            </c:strRef>
          </c:cat>
          <c:val>
            <c:numRef>
              <c:f>'Dashboard Data Engine '!$I$36:$I$38</c:f>
              <c:numCache>
                <c:formatCode>0.00%</c:formatCode>
                <c:ptCount val="3"/>
                <c:pt idx="0">
                  <c:v>8.0500000000000002E-2</c:v>
                </c:pt>
                <c:pt idx="1">
                  <c:v>9.0200000000000002E-2</c:v>
                </c:pt>
                <c:pt idx="2">
                  <c:v>0.1215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8-4DF8-BEE9-2D7A5EA6FBE1}"/>
            </c:ext>
          </c:extLst>
        </c:ser>
        <c:ser>
          <c:idx val="1"/>
          <c:order val="1"/>
          <c:tx>
            <c:strRef>
              <c:f>'Dashboard Data Engine '!$J$35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Data Engine '!$H$36:$H$38</c:f>
              <c:strCache>
                <c:ptCount val="3"/>
                <c:pt idx="0">
                  <c:v>ROA</c:v>
                </c:pt>
                <c:pt idx="1">
                  <c:v>ROE</c:v>
                </c:pt>
                <c:pt idx="2">
                  <c:v>ROCE</c:v>
                </c:pt>
              </c:strCache>
            </c:strRef>
          </c:cat>
          <c:val>
            <c:numRef>
              <c:f>'Dashboard Data Engine '!$J$36:$J$38</c:f>
              <c:numCache>
                <c:formatCode>0.00%</c:formatCode>
                <c:ptCount val="3"/>
                <c:pt idx="0">
                  <c:v>9.6500000000000002E-2</c:v>
                </c:pt>
                <c:pt idx="1">
                  <c:v>0.1091</c:v>
                </c:pt>
                <c:pt idx="2">
                  <c:v>0.14860000000000001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8-4DF8-BEE9-2D7A5EA6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702879"/>
        <c:axId val="1382982671"/>
      </c:barChart>
      <c:catAx>
        <c:axId val="15297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82671"/>
        <c:crosses val="autoZero"/>
        <c:auto val="1"/>
        <c:lblAlgn val="ctr"/>
        <c:lblOffset val="100"/>
        <c:noMultiLvlLbl val="0"/>
      </c:catAx>
      <c:valAx>
        <c:axId val="13829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7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image" Target="../media/image9.png"/><Relationship Id="rId3" Type="http://schemas.openxmlformats.org/officeDocument/2006/relationships/image" Target="../media/image7.png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2" Type="http://schemas.openxmlformats.org/officeDocument/2006/relationships/image" Target="../media/image2.png"/><Relationship Id="rId16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5" Type="http://schemas.openxmlformats.org/officeDocument/2006/relationships/image" Target="../media/image11.png"/><Relationship Id="rId10" Type="http://schemas.openxmlformats.org/officeDocument/2006/relationships/chart" Target="../charts/chart6.xml"/><Relationship Id="rId4" Type="http://schemas.openxmlformats.org/officeDocument/2006/relationships/image" Target="../media/image8.svg"/><Relationship Id="rId9" Type="http://schemas.openxmlformats.org/officeDocument/2006/relationships/chart" Target="../charts/chart5.xml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8288</xdr:colOff>
      <xdr:row>0</xdr:row>
      <xdr:rowOff>0</xdr:rowOff>
    </xdr:from>
    <xdr:ext cx="2087656" cy="96761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1319DA4-CA46-48E8-B7FF-4E8EA8048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6750" y="0"/>
          <a:ext cx="2087656" cy="967618"/>
        </a:xfrm>
        <a:prstGeom prst="rect">
          <a:avLst/>
        </a:prstGeom>
      </xdr:spPr>
    </xdr:pic>
    <xdr:clientData/>
  </xdr:oneCellAnchor>
  <xdr:oneCellAnchor>
    <xdr:from>
      <xdr:col>6</xdr:col>
      <xdr:colOff>872168</xdr:colOff>
      <xdr:row>0</xdr:row>
      <xdr:rowOff>14937</xdr:rowOff>
    </xdr:from>
    <xdr:ext cx="1809058" cy="94138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4D67B91-02F0-4456-8504-0356A828F23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23252" y="14937"/>
          <a:ext cx="1809058" cy="9413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10566</xdr:colOff>
      <xdr:row>0</xdr:row>
      <xdr:rowOff>73038</xdr:rowOff>
    </xdr:from>
    <xdr:ext cx="1683613" cy="776008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87383B1D-DF1B-48E8-BF3B-E48A9A1B8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813" y="73038"/>
          <a:ext cx="1683613" cy="776008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0</xdr:row>
      <xdr:rowOff>19049</xdr:rowOff>
    </xdr:from>
    <xdr:ext cx="1655242" cy="965558"/>
    <xdr:pic>
      <xdr:nvPicPr>
        <xdr:cNvPr id="3" name="Picture 2" descr="store.png">
          <a:extLst>
            <a:ext uri="{FF2B5EF4-FFF2-40B4-BE49-F238E27FC236}">
              <a16:creationId xmlns:a16="http://schemas.microsoft.com/office/drawing/2014/main" id="{E032043F-9787-42FB-B883-CF135E82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6103" y="19049"/>
          <a:ext cx="1655242" cy="96555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2788</xdr:colOff>
      <xdr:row>0</xdr:row>
      <xdr:rowOff>0</xdr:rowOff>
    </xdr:from>
    <xdr:ext cx="1829806" cy="838867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EFE8B8DD-30C9-430A-914C-4E09F98FC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012" y="0"/>
          <a:ext cx="1829806" cy="838867"/>
        </a:xfrm>
        <a:prstGeom prst="rect">
          <a:avLst/>
        </a:prstGeom>
      </xdr:spPr>
    </xdr:pic>
    <xdr:clientData/>
  </xdr:oneCellAnchor>
  <xdr:oneCellAnchor>
    <xdr:from>
      <xdr:col>6</xdr:col>
      <xdr:colOff>30603</xdr:colOff>
      <xdr:row>0</xdr:row>
      <xdr:rowOff>0</xdr:rowOff>
    </xdr:from>
    <xdr:ext cx="1363994" cy="795662"/>
    <xdr:pic>
      <xdr:nvPicPr>
        <xdr:cNvPr id="3" name="Picture 2" descr="store.png">
          <a:extLst>
            <a:ext uri="{FF2B5EF4-FFF2-40B4-BE49-F238E27FC236}">
              <a16:creationId xmlns:a16="http://schemas.microsoft.com/office/drawing/2014/main" id="{431C3FCC-9F1E-4D52-9E7E-7344DFA3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203" y="0"/>
          <a:ext cx="1363994" cy="79566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540925</xdr:colOff>
      <xdr:row>0</xdr:row>
      <xdr:rowOff>29881</xdr:rowOff>
    </xdr:from>
    <xdr:ext cx="1986163" cy="916739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865C99CD-C148-4D3D-A2DD-6F4272D28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925" y="29881"/>
          <a:ext cx="1986163" cy="916739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681656" cy="980966"/>
    <xdr:pic>
      <xdr:nvPicPr>
        <xdr:cNvPr id="3" name="Picture 2" descr="store.png">
          <a:extLst>
            <a:ext uri="{FF2B5EF4-FFF2-40B4-BE49-F238E27FC236}">
              <a16:creationId xmlns:a16="http://schemas.microsoft.com/office/drawing/2014/main" id="{8BB7F405-134F-406E-8258-730028C54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1681656" cy="98096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205888</xdr:colOff>
      <xdr:row>0</xdr:row>
      <xdr:rowOff>259717</xdr:rowOff>
    </xdr:from>
    <xdr:ext cx="2567676" cy="100298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7508FA7-9D02-4AF0-AA49-DE8555BD4BC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888" y="259717"/>
          <a:ext cx="2567676" cy="1002983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440973</xdr:colOff>
      <xdr:row>0</xdr:row>
      <xdr:rowOff>0</xdr:rowOff>
    </xdr:from>
    <xdr:ext cx="1919111" cy="1111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E2C9350-50C5-4EDB-B0C5-3C3513A0416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79373" y="0"/>
          <a:ext cx="1919111" cy="1111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10949</xdr:colOff>
      <xdr:row>6</xdr:row>
      <xdr:rowOff>0</xdr:rowOff>
    </xdr:from>
    <xdr:ext cx="361950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CCABFEAB-C374-46A0-9B1D-FFEA4F88B67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20549" y="1104900"/>
          <a:ext cx="361950" cy="361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</xdr:row>
      <xdr:rowOff>0</xdr:rowOff>
    </xdr:from>
    <xdr:ext cx="361950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69FD70B6-7EFB-40CB-A12D-5B1AAB64CCDD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9600" y="1841500"/>
          <a:ext cx="361950" cy="361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17</xdr:row>
      <xdr:rowOff>0</xdr:rowOff>
    </xdr:from>
    <xdr:ext cx="361950" cy="361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FC82106-9682-4431-B93F-94A7395DA2E8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9600" y="3130550"/>
          <a:ext cx="361950" cy="361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22</xdr:row>
      <xdr:rowOff>0</xdr:rowOff>
    </xdr:from>
    <xdr:ext cx="361950" cy="3619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AE233F7E-E5F0-4E32-965C-799CF98145D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09600" y="4051300"/>
          <a:ext cx="361950" cy="3619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94072</xdr:colOff>
      <xdr:row>0</xdr:row>
      <xdr:rowOff>199908</xdr:rowOff>
    </xdr:from>
    <xdr:ext cx="3269076" cy="161101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4A0BEAB-9DE3-48F7-8303-09BDA11144B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5739" y="199908"/>
          <a:ext cx="3269076" cy="1611018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608118</xdr:colOff>
      <xdr:row>0</xdr:row>
      <xdr:rowOff>152869</xdr:rowOff>
    </xdr:from>
    <xdr:ext cx="2681113" cy="1563983"/>
    <xdr:pic>
      <xdr:nvPicPr>
        <xdr:cNvPr id="3" name="Picture 2" descr="store.png">
          <a:extLst>
            <a:ext uri="{FF2B5EF4-FFF2-40B4-BE49-F238E27FC236}">
              <a16:creationId xmlns:a16="http://schemas.microsoft.com/office/drawing/2014/main" id="{738472F7-12D8-453A-BE25-C5F3049AE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414" y="152869"/>
          <a:ext cx="2681113" cy="1563983"/>
        </a:xfrm>
        <a:prstGeom prst="rect">
          <a:avLst/>
        </a:prstGeom>
      </xdr:spPr>
    </xdr:pic>
    <xdr:clientData/>
  </xdr:oneCellAnchor>
  <xdr:twoCellAnchor editAs="oneCell">
    <xdr:from>
      <xdr:col>4</xdr:col>
      <xdr:colOff>609707</xdr:colOff>
      <xdr:row>1</xdr:row>
      <xdr:rowOff>271129</xdr:rowOff>
    </xdr:from>
    <xdr:to>
      <xdr:col>5</xdr:col>
      <xdr:colOff>489339</xdr:colOff>
      <xdr:row>5</xdr:row>
      <xdr:rowOff>1118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EDD5724E-10C8-C6D2-24DD-AA7E9CB5C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60745" y="546695"/>
          <a:ext cx="862085" cy="831135"/>
        </a:xfrm>
        <a:prstGeom prst="rect">
          <a:avLst/>
        </a:prstGeom>
      </xdr:spPr>
    </xdr:pic>
    <xdr:clientData/>
  </xdr:twoCellAnchor>
  <xdr:twoCellAnchor>
    <xdr:from>
      <xdr:col>14</xdr:col>
      <xdr:colOff>1546</xdr:colOff>
      <xdr:row>12</xdr:row>
      <xdr:rowOff>15106</xdr:rowOff>
    </xdr:from>
    <xdr:to>
      <xdr:col>20</xdr:col>
      <xdr:colOff>10763</xdr:colOff>
      <xdr:row>22</xdr:row>
      <xdr:rowOff>10762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17225702-AD4A-74B4-A49D-F94D7304B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9122</xdr:colOff>
      <xdr:row>18</xdr:row>
      <xdr:rowOff>784</xdr:rowOff>
    </xdr:from>
    <xdr:to>
      <xdr:col>10</xdr:col>
      <xdr:colOff>68856</xdr:colOff>
      <xdr:row>29</xdr:row>
      <xdr:rowOff>15301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402AA546-0B7B-3A12-42CB-4E4789A04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78813</xdr:colOff>
      <xdr:row>18</xdr:row>
      <xdr:rowOff>2250</xdr:rowOff>
    </xdr:from>
    <xdr:to>
      <xdr:col>13</xdr:col>
      <xdr:colOff>1058</xdr:colOff>
      <xdr:row>29</xdr:row>
      <xdr:rowOff>7649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6994E3A8-BC9B-351F-541E-D201280E4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208541</xdr:colOff>
      <xdr:row>17</xdr:row>
      <xdr:rowOff>276512</xdr:rowOff>
    </xdr:from>
    <xdr:to>
      <xdr:col>6</xdr:col>
      <xdr:colOff>48106</xdr:colOff>
      <xdr:row>28</xdr:row>
      <xdr:rowOff>269392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E75CF2C5-5259-5772-42DB-F360EAF55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33</xdr:colOff>
      <xdr:row>30</xdr:row>
      <xdr:rowOff>2143</xdr:rowOff>
    </xdr:from>
    <xdr:to>
      <xdr:col>10</xdr:col>
      <xdr:colOff>86591</xdr:colOff>
      <xdr:row>40</xdr:row>
      <xdr:rowOff>9620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DB1231-6BCC-08DE-3B46-C9773061A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76970</xdr:colOff>
      <xdr:row>29</xdr:row>
      <xdr:rowOff>269298</xdr:rowOff>
    </xdr:from>
    <xdr:to>
      <xdr:col>13</xdr:col>
      <xdr:colOff>9622</xdr:colOff>
      <xdr:row>40</xdr:row>
      <xdr:rowOff>5620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7B8FCF-3FF0-BDEF-1DF3-FE36DE94F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597664</xdr:colOff>
      <xdr:row>23</xdr:row>
      <xdr:rowOff>10901</xdr:rowOff>
    </xdr:from>
    <xdr:to>
      <xdr:col>16</xdr:col>
      <xdr:colOff>964259</xdr:colOff>
      <xdr:row>33</xdr:row>
      <xdr:rowOff>270462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87EFF973-547E-300A-BEEF-7DF9A7EAF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950441</xdr:colOff>
      <xdr:row>23</xdr:row>
      <xdr:rowOff>13053</xdr:rowOff>
    </xdr:from>
    <xdr:to>
      <xdr:col>20</xdr:col>
      <xdr:colOff>11759</xdr:colOff>
      <xdr:row>34</xdr:row>
      <xdr:rowOff>0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EA176733-6CC7-C9B0-FB31-E2582F1B6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260039</xdr:colOff>
      <xdr:row>38</xdr:row>
      <xdr:rowOff>34029</xdr:rowOff>
    </xdr:from>
    <xdr:to>
      <xdr:col>1</xdr:col>
      <xdr:colOff>723017</xdr:colOff>
      <xdr:row>39</xdr:row>
      <xdr:rowOff>217329</xdr:rowOff>
    </xdr:to>
    <xdr:pic>
      <xdr:nvPicPr>
        <xdr:cNvPr id="18" name="Graphic 17" descr="Lightbulb and gear with solid fill">
          <a:extLst>
            <a:ext uri="{FF2B5EF4-FFF2-40B4-BE49-F238E27FC236}">
              <a16:creationId xmlns:a16="http://schemas.microsoft.com/office/drawing/2014/main" id="{8A469DF6-6322-2292-5880-407D0E0C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9956" y="10839525"/>
          <a:ext cx="462978" cy="461440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</xdr:pic>
    <xdr:clientData/>
  </xdr:twoCellAnchor>
  <xdr:twoCellAnchor>
    <xdr:from>
      <xdr:col>2</xdr:col>
      <xdr:colOff>2433</xdr:colOff>
      <xdr:row>38</xdr:row>
      <xdr:rowOff>2433</xdr:rowOff>
    </xdr:from>
    <xdr:to>
      <xdr:col>6</xdr:col>
      <xdr:colOff>0</xdr:colOff>
      <xdr:row>39</xdr:row>
      <xdr:rowOff>279789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5993F3C-289F-A8D3-6E91-68D8EE93E07C}"/>
            </a:ext>
          </a:extLst>
        </xdr:cNvPr>
        <xdr:cNvSpPr txBox="1"/>
      </xdr:nvSpPr>
      <xdr:spPr>
        <a:xfrm>
          <a:off x="1189713" y="10860690"/>
          <a:ext cx="3934080" cy="55714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 i="1"/>
            <a:t>Overall:</a:t>
          </a:r>
          <a:r>
            <a:rPr lang="en-IN" sz="1200" i="1"/>
            <a:t> Profitability and returns improved, while liquidity  and working capital tightened during FY2022.</a:t>
          </a:r>
        </a:p>
      </xdr:txBody>
    </xdr:sp>
    <xdr:clientData/>
  </xdr:twoCellAnchor>
  <xdr:twoCellAnchor editAs="oneCell">
    <xdr:from>
      <xdr:col>17</xdr:col>
      <xdr:colOff>70556</xdr:colOff>
      <xdr:row>43</xdr:row>
      <xdr:rowOff>221747</xdr:rowOff>
    </xdr:from>
    <xdr:to>
      <xdr:col>18</xdr:col>
      <xdr:colOff>7258</xdr:colOff>
      <xdr:row>47</xdr:row>
      <xdr:rowOff>22651</xdr:rowOff>
    </xdr:to>
    <xdr:pic>
      <xdr:nvPicPr>
        <xdr:cNvPr id="21" name="Graphic 20" descr="Robot with solid fill">
          <a:extLst>
            <a:ext uri="{FF2B5EF4-FFF2-40B4-BE49-F238E27FC236}">
              <a16:creationId xmlns:a16="http://schemas.microsoft.com/office/drawing/2014/main" id="{918888FA-B6B5-4AB5-8464-DDC5E9BC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5280318" y="12568969"/>
          <a:ext cx="914400" cy="92979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" xr16:uid="{D7D32137-E675-4458-8C68-6EEBB6E6F6D1}" autoFormatId="16" applyNumberFormats="0" applyBorderFormats="0" applyFontFormats="0" applyPatternFormats="0" applyAlignmentFormats="0" applyWidthHeightFormats="0">
  <queryTableRefresh headersInLastRefresh="0" nextId="9" unboundColumnsRight="2">
    <queryTableFields count="6">
      <queryTableField id="1" name="Column1" tableColumnId="1"/>
      <queryTableField id="2" name="Column2" tableColumnId="2"/>
      <queryTableField id="5" name="As at" tableColumnId="5"/>
      <queryTableField id="6" name="As at_1" tableColumnId="6"/>
      <queryTableField id="7" dataBound="0" tableColumnId="3"/>
      <queryTableField id="8" dataBound="0" tableColumnId="4"/>
    </queryTableFields>
    <queryTableDeletedFields count="2">
      <deletedField name="Notes"/>
      <deletedField name="Column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5" xr16:uid="{DA42126D-4C3E-4D15-80B8-89E59DA11953}" autoFormatId="16" applyNumberFormats="0" applyBorderFormats="0" applyFontFormats="0" applyPatternFormats="0" applyAlignmentFormats="0" applyWidthHeightFormats="0">
  <queryTableRefresh headersInLastRefresh="0" nextId="5">
    <queryTableFields count="3">
      <queryTableField id="1" name="Column1" tableColumnId="1"/>
      <queryTableField id="3" name="For the year ended" tableColumnId="3"/>
      <queryTableField id="4" name="For the year ended_1" tableColumnId="4"/>
    </queryTableFields>
    <queryTableDeletedFields count="1">
      <deletedField name="Note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9F9F60D9-C061-4ABF-B73D-B375D3A40259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7" xr16:uid="{C797CD67-48DD-498C-B907-BC8A05B072D0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F547B-FFBC-4D37-A833-182249FC4D21}" name="Consolidated_Balance_Sheet" displayName="Consolidated_Balance_Sheet" ref="A2:F55" tableType="queryTable" headerRowCount="0" totalsRowShown="0" headerRowDxfId="47" dataDxfId="46">
  <tableColumns count="6">
    <tableColumn id="1" xr3:uid="{8A1DC3B2-EE46-4E16-A2D5-23FC99BCB831}" uniqueName="1" name="Column1" queryTableFieldId="1" dataDxfId="45"/>
    <tableColumn id="2" xr3:uid="{9FAE140C-4CCD-4477-B94F-7570DA1D540A}" uniqueName="2" name="Column2" queryTableFieldId="2" dataDxfId="44"/>
    <tableColumn id="5" xr3:uid="{7247410C-B07F-4CBE-BE0C-B39B25F5618C}" uniqueName="5" name="As at" queryTableFieldId="5" dataDxfId="43" dataCellStyle="Currency"/>
    <tableColumn id="6" xr3:uid="{973A12AD-4356-409D-81EF-4E35F684B24B}" uniqueName="6" name="As at_1" queryTableFieldId="6" dataDxfId="42"/>
    <tableColumn id="3" xr3:uid="{A77AF637-1624-4651-86C5-989590E113E7}" uniqueName="3" name="Column3" queryTableFieldId="7" headerRowDxfId="41" dataDxfId="40"/>
    <tableColumn id="4" xr3:uid="{BE7AC57A-D26F-44E8-B726-B0803D2132D2}" uniqueName="4" name="Column4" queryTableFieldId="8" headerRowDxfId="39" dataDxfId="3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D101897-BB7D-44D4-BE30-82F6B09DC11F}" name="Consolidated_profit_and_loss_account" displayName="Consolidated_profit_and_loss_account" ref="A2:C39" tableType="queryTable" headerRowCount="0" totalsRowShown="0">
  <tableColumns count="3">
    <tableColumn id="1" xr3:uid="{2AA95626-C09C-446A-9EF0-DF027BD3ECE1}" uniqueName="1" name="Column1" queryTableFieldId="1" dataDxfId="37"/>
    <tableColumn id="3" xr3:uid="{79D21AE6-D66F-48DC-BAD4-60CFA79DABC4}" uniqueName="3" name="For the year ended" queryTableFieldId="3" dataDxfId="36"/>
    <tableColumn id="4" xr3:uid="{7F02C4D0-759B-407B-B554-D5AEBCC4343A}" uniqueName="4" name="For the year ended_1" queryTableFieldId="4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C16F9DB-CFA2-4AFE-AF3C-12D0894B3325}" name="Cash_flow_statement" displayName="Cash_flow_statement" ref="A2:C48" tableType="queryTable" headerRowCount="0" totalsRowShown="0">
  <tableColumns count="3">
    <tableColumn id="1" xr3:uid="{9B0687A7-535D-48DF-9777-048249FD867F}" uniqueName="1" name="Column1" queryTableFieldId="1" dataDxfId="34"/>
    <tableColumn id="2" xr3:uid="{16795E84-C3D4-446B-BB50-EEDAA4B276DD}" uniqueName="2" name="Column2" queryTableFieldId="2" dataDxfId="33"/>
    <tableColumn id="3" xr3:uid="{A1A58B84-35F4-4B4A-A088-23A1F7BE6C19}" uniqueName="3" name="Column3" queryTableFieldId="3" dataDxfId="3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C628E9B-A4AA-4BBD-974B-7FB59A489257}" name="Table738__Page_161" displayName="Table738__Page_161" ref="A49:C55" tableType="queryTable" headerRowCount="0" totalsRowShown="0">
  <tableColumns count="3">
    <tableColumn id="1" xr3:uid="{3295212F-9430-41D2-8BC3-30545784D770}" uniqueName="1" name="Column1" queryTableFieldId="1" dataDxfId="31"/>
    <tableColumn id="2" xr3:uid="{A7704CC0-2278-4AD1-A047-26C67F5024C5}" uniqueName="2" name="Column2" queryTableFieldId="2" headerRowDxfId="30" dataDxfId="29"/>
    <tableColumn id="3" xr3:uid="{52BA7B50-3551-48D4-B266-A21970D6CCA5}" uniqueName="3" name="Column3" queryTableFieldId="3" headerRowDxfId="28" dataDxfId="2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4A4FBCE-88AD-4C68-885C-C8B6C35EE6E5}" name="Table4" displayName="Table4" ref="B3:E10" totalsRowShown="0" headerRowDxfId="26">
  <autoFilter ref="B3:E10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Metric" dataDxfId="25"/>
    <tableColumn id="2" xr3:uid="{00000000-0010-0000-0000-000002000000}" name="FY2021" dataDxfId="24" dataCellStyle="Currency"/>
    <tableColumn id="3" xr3:uid="{00000000-0010-0000-0000-000003000000}" name="FY2022" dataDxfId="23" dataCellStyle="Currency"/>
    <tableColumn id="4" xr3:uid="{00000000-0010-0000-0000-000004000000}" name="Change %" dataDxfId="22">
      <calculatedColumnFormula>(D4-C4)/C4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154488-D626-439D-B3E5-F619014D1596}" name="Table7" displayName="Table7" ref="G4:J8" headerRowCount="0" totalsRowShown="0">
  <tableColumns count="4">
    <tableColumn id="1" xr3:uid="{00000000-0010-0000-0100-000001000000}" name="Metric" headerRowDxfId="21" dataDxfId="20"/>
    <tableColumn id="2" xr3:uid="{00000000-0010-0000-0100-000002000000}" name="FY2021" headerRowDxfId="19"/>
    <tableColumn id="3" xr3:uid="{00000000-0010-0000-0100-000003000000}" name="FY2022" headerRowDxfId="18" dataDxfId="17" dataCellStyle="Currency"/>
    <tableColumn id="4" xr3:uid="{00000000-0010-0000-0100-000004000000}" name="Column1" dataDxfId="16">
      <calculatedColumnFormula>(I4-H4)/H4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3E5C8-16B9-4411-8455-F951B2F36AF3}" name="Table12" displayName="Table12" ref="B4:F8" headerRowCount="0" totalsRowShown="0" headerRowDxfId="15" dataDxfId="14">
  <tableColumns count="5">
    <tableColumn id="1" xr3:uid="{00000000-0010-0000-0000-000001000000}" name="Working Capital Metric" dataDxfId="13"/>
    <tableColumn id="2" xr3:uid="{00000000-0010-0000-0000-000002000000}" name="FY2021" dataDxfId="12"/>
    <tableColumn id="3" xr3:uid="{00000000-0010-0000-0000-000003000000}" name="FY2022" dataDxfId="11"/>
    <tableColumn id="4" xr3:uid="{00000000-0010-0000-0000-000004000000}" name="Change %" dataDxfId="10">
      <calculatedColumnFormula>(Table12[[#This Row],[FY2022]]-Table12[[#This Row],[FY2021]])/Table12[[#This Row],[FY2021]]</calculatedColumnFormula>
    </tableColumn>
    <tableColumn id="5" xr3:uid="{00000000-0010-0000-0000-000005000000}" name="Trend" dataDxfId="9">
      <calculatedColumnFormula>IF(E4&gt;0,"↑",IF(E4&lt;0,"↓","→"))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7EEF82-6F55-4B10-BAD6-D79D304BEF5C}" name="Table3" displayName="Table3" ref="A1:F37" totalsRowShown="0" headerRowDxfId="8">
  <autoFilter ref="A1:F37" xr:uid="{C17EEF82-6F55-4B10-BAD6-D79D304BEF5C}"/>
  <tableColumns count="6">
    <tableColumn id="1" xr3:uid="{83F54B51-FF26-4333-98C5-F91459C0E7DA}" name="Analysis Area" dataDxfId="7"/>
    <tableColumn id="2" xr3:uid="{7531BE7A-7549-42B7-B54C-842317F077D9}" name="Metric Category" dataDxfId="6"/>
    <tableColumn id="3" xr3:uid="{BE36E672-D06F-4051-ABAF-C1E1E9FF8631}" name="Metric" dataDxfId="5"/>
    <tableColumn id="4" xr3:uid="{3226C801-C10F-4386-8B11-72A50F9B6A00}" name="FY2021" dataDxfId="4"/>
    <tableColumn id="5" xr3:uid="{2580CD67-524C-4748-BBF1-D26D2D4A9320}" name="FY2022" dataDxfId="3"/>
    <tableColumn id="6" xr3:uid="{DFEEA55A-239F-4430-81CE-3E3F8930329E}" name="Change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0A16-9291-4894-8B01-A0ABAC621357}">
  <sheetPr>
    <pageSetUpPr fitToPage="1"/>
  </sheetPr>
  <dimension ref="B1:T50"/>
  <sheetViews>
    <sheetView showGridLines="0" tabSelected="1" zoomScale="47" zoomScaleNormal="47" workbookViewId="0">
      <selection sqref="A1:T51"/>
    </sheetView>
  </sheetViews>
  <sheetFormatPr defaultRowHeight="14.5" x14ac:dyDescent="0.35"/>
  <cols>
    <col min="1" max="1" width="2" customWidth="1"/>
    <col min="2" max="2" width="14" customWidth="1"/>
    <col min="3" max="6" width="15" customWidth="1"/>
    <col min="7" max="7" width="3" customWidth="1"/>
    <col min="8" max="20" width="14" customWidth="1"/>
  </cols>
  <sheetData>
    <row r="1" spans="2:20" ht="21" customHeight="1" x14ac:dyDescent="0.35"/>
    <row r="2" spans="2:20" ht="30" customHeight="1" x14ac:dyDescent="0.65">
      <c r="B2" s="150" t="s">
        <v>638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</row>
    <row r="3" spans="2:20" ht="34" customHeight="1" x14ac:dyDescent="0.5">
      <c r="B3" s="160" t="s">
        <v>637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</row>
    <row r="4" spans="2:20" ht="21" customHeight="1" x14ac:dyDescent="0.35">
      <c r="B4" s="163" t="s">
        <v>636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</row>
    <row r="5" spans="2:20" ht="25" customHeight="1" x14ac:dyDescent="0.35">
      <c r="B5" s="165" t="s">
        <v>635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</row>
    <row r="6" spans="2:20" ht="21" customHeight="1" x14ac:dyDescent="0.35"/>
    <row r="7" spans="2:20" ht="21" customHeight="1" thickBot="1" x14ac:dyDescent="0.4">
      <c r="B7" s="154" t="s">
        <v>634</v>
      </c>
      <c r="C7" s="155"/>
      <c r="D7" s="155"/>
      <c r="E7" s="155"/>
      <c r="F7" s="155"/>
      <c r="G7" s="155"/>
      <c r="H7" s="155"/>
      <c r="I7" s="155"/>
      <c r="J7" s="155"/>
      <c r="K7" s="154" t="s">
        <v>633</v>
      </c>
      <c r="L7" s="155"/>
      <c r="M7" s="155"/>
      <c r="N7" s="155"/>
      <c r="O7" s="155"/>
      <c r="P7" s="155"/>
      <c r="Q7" s="155"/>
      <c r="R7" s="155"/>
      <c r="S7" s="155"/>
      <c r="T7" s="155"/>
    </row>
    <row r="8" spans="2:20" ht="21" customHeight="1" x14ac:dyDescent="0.4">
      <c r="B8" s="148" t="s">
        <v>632</v>
      </c>
      <c r="C8" s="152" t="s">
        <v>631</v>
      </c>
      <c r="D8" s="153"/>
      <c r="E8" s="153"/>
      <c r="F8" s="153"/>
      <c r="G8" s="153"/>
      <c r="H8" s="153"/>
      <c r="I8" s="153"/>
      <c r="J8" s="153"/>
      <c r="K8" s="158" t="s">
        <v>630</v>
      </c>
      <c r="L8" s="159"/>
      <c r="M8" s="159"/>
      <c r="N8" s="159"/>
      <c r="O8" s="159"/>
      <c r="P8" s="159"/>
      <c r="Q8" s="159"/>
      <c r="R8" s="159"/>
      <c r="S8" s="159"/>
      <c r="T8" s="159"/>
    </row>
    <row r="9" spans="2:20" ht="21" customHeight="1" x14ac:dyDescent="0.4">
      <c r="B9" s="148" t="s">
        <v>629</v>
      </c>
      <c r="C9" s="152" t="s">
        <v>640</v>
      </c>
      <c r="D9" s="153"/>
      <c r="E9" s="153"/>
      <c r="F9" s="153"/>
      <c r="G9" s="153"/>
      <c r="H9" s="153"/>
      <c r="I9" s="153"/>
      <c r="J9" s="153"/>
      <c r="K9" s="156" t="s">
        <v>628</v>
      </c>
      <c r="L9" s="157"/>
      <c r="M9" s="157"/>
      <c r="N9" s="157"/>
      <c r="O9" s="157"/>
      <c r="P9" s="157"/>
      <c r="Q9" s="157"/>
      <c r="R9" s="157"/>
      <c r="S9" s="157"/>
      <c r="T9" s="157"/>
    </row>
    <row r="10" spans="2:20" ht="21" customHeight="1" x14ac:dyDescent="0.4">
      <c r="B10" s="148" t="s">
        <v>627</v>
      </c>
      <c r="C10" s="152" t="s">
        <v>626</v>
      </c>
      <c r="D10" s="153"/>
      <c r="E10" s="153"/>
      <c r="F10" s="153"/>
      <c r="G10" s="153"/>
      <c r="H10" s="153"/>
      <c r="I10" s="153"/>
      <c r="J10" s="153"/>
      <c r="K10" s="156" t="s">
        <v>625</v>
      </c>
      <c r="L10" s="157"/>
      <c r="M10" s="157"/>
      <c r="N10" s="157"/>
      <c r="O10" s="157"/>
      <c r="P10" s="157"/>
      <c r="Q10" s="157"/>
      <c r="R10" s="157"/>
      <c r="S10" s="157"/>
      <c r="T10" s="157"/>
    </row>
    <row r="11" spans="2:20" ht="21" customHeight="1" x14ac:dyDescent="0.4">
      <c r="B11" s="148" t="s">
        <v>624</v>
      </c>
      <c r="C11" s="152" t="s">
        <v>623</v>
      </c>
      <c r="D11" s="153"/>
      <c r="E11" s="153"/>
      <c r="F11" s="153"/>
      <c r="G11" s="153"/>
      <c r="H11" s="153"/>
      <c r="I11" s="153"/>
      <c r="J11" s="153"/>
      <c r="K11" s="156" t="s">
        <v>622</v>
      </c>
      <c r="L11" s="157"/>
      <c r="M11" s="157"/>
      <c r="N11" s="157"/>
      <c r="O11" s="157"/>
      <c r="P11" s="157"/>
      <c r="Q11" s="157"/>
      <c r="R11" s="157"/>
      <c r="S11" s="157"/>
      <c r="T11" s="157"/>
    </row>
    <row r="12" spans="2:20" ht="21" customHeight="1" x14ac:dyDescent="0.4">
      <c r="B12" s="148" t="s">
        <v>621</v>
      </c>
      <c r="C12" s="152" t="s">
        <v>620</v>
      </c>
      <c r="D12" s="153"/>
      <c r="E12" s="153"/>
      <c r="F12" s="153"/>
      <c r="G12" s="153"/>
      <c r="H12" s="153"/>
      <c r="I12" s="153"/>
      <c r="J12" s="153"/>
      <c r="K12" s="156" t="s">
        <v>619</v>
      </c>
      <c r="L12" s="157"/>
      <c r="M12" s="157"/>
      <c r="N12" s="157"/>
      <c r="O12" s="157"/>
      <c r="P12" s="157"/>
      <c r="Q12" s="157"/>
      <c r="R12" s="157"/>
      <c r="S12" s="157"/>
      <c r="T12" s="157"/>
    </row>
    <row r="13" spans="2:20" ht="21" customHeight="1" x14ac:dyDescent="0.4">
      <c r="B13" s="148" t="s">
        <v>547</v>
      </c>
      <c r="C13" s="152" t="s">
        <v>548</v>
      </c>
      <c r="D13" s="153"/>
      <c r="E13" s="153"/>
      <c r="F13" s="153"/>
      <c r="G13" s="153"/>
      <c r="H13" s="153"/>
      <c r="I13" s="153"/>
      <c r="J13" s="153"/>
      <c r="K13" s="156" t="s">
        <v>618</v>
      </c>
      <c r="L13" s="157"/>
      <c r="M13" s="157"/>
      <c r="N13" s="157"/>
      <c r="O13" s="157"/>
      <c r="P13" s="157"/>
      <c r="Q13" s="157"/>
      <c r="R13" s="157"/>
      <c r="S13" s="157"/>
      <c r="T13" s="157"/>
    </row>
    <row r="14" spans="2:20" ht="21" customHeight="1" x14ac:dyDescent="0.4">
      <c r="B14" s="148" t="s">
        <v>549</v>
      </c>
      <c r="C14" s="152" t="s">
        <v>617</v>
      </c>
      <c r="D14" s="153"/>
      <c r="E14" s="153"/>
      <c r="F14" s="153"/>
      <c r="G14" s="153"/>
      <c r="H14" s="153"/>
      <c r="I14" s="153"/>
      <c r="J14" s="153"/>
      <c r="K14" s="168" t="s">
        <v>639</v>
      </c>
      <c r="L14" s="153"/>
      <c r="M14" s="153"/>
      <c r="N14" s="153"/>
      <c r="O14" s="153"/>
      <c r="P14" s="153"/>
      <c r="Q14" s="153"/>
      <c r="R14" s="153"/>
      <c r="S14" s="153"/>
      <c r="T14" s="153"/>
    </row>
    <row r="15" spans="2:20" ht="21" customHeight="1" x14ac:dyDescent="0.4">
      <c r="B15" s="148" t="s">
        <v>551</v>
      </c>
      <c r="C15" s="152" t="s">
        <v>552</v>
      </c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</row>
    <row r="16" spans="2:20" ht="21" customHeight="1" x14ac:dyDescent="0.35">
      <c r="K16" s="153"/>
      <c r="L16" s="153"/>
      <c r="M16" s="153"/>
      <c r="N16" s="153"/>
      <c r="O16" s="153"/>
      <c r="P16" s="153"/>
      <c r="Q16" s="153"/>
      <c r="R16" s="153"/>
      <c r="S16" s="153"/>
      <c r="T16" s="153"/>
    </row>
    <row r="17" spans="2:20" ht="21" customHeight="1" x14ac:dyDescent="0.35"/>
    <row r="18" spans="2:20" ht="21" customHeight="1" thickBot="1" x14ac:dyDescent="0.4">
      <c r="B18" s="154" t="s">
        <v>616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</row>
    <row r="19" spans="2:20" ht="25" customHeight="1" x14ac:dyDescent="0.35">
      <c r="B19" s="169" t="s">
        <v>615</v>
      </c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</row>
    <row r="20" spans="2:20" ht="25" customHeight="1" x14ac:dyDescent="0.35"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</row>
    <row r="21" spans="2:20" ht="25" customHeight="1" x14ac:dyDescent="0.35"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</row>
    <row r="22" spans="2:20" ht="21" customHeight="1" x14ac:dyDescent="0.35"/>
    <row r="23" spans="2:20" ht="21" customHeight="1" thickBot="1" x14ac:dyDescent="0.4">
      <c r="B23" s="154" t="s">
        <v>614</v>
      </c>
      <c r="C23" s="155"/>
      <c r="D23" s="155"/>
      <c r="E23" s="155"/>
      <c r="F23" s="155"/>
      <c r="G23" s="155"/>
      <c r="H23" s="155"/>
      <c r="I23" s="155"/>
      <c r="J23" s="155"/>
      <c r="K23" s="154" t="s">
        <v>613</v>
      </c>
      <c r="L23" s="155"/>
      <c r="M23" s="155"/>
      <c r="N23" s="155"/>
      <c r="O23" s="155"/>
      <c r="P23" s="155"/>
      <c r="Q23" s="155"/>
      <c r="R23" s="155"/>
      <c r="S23" s="155"/>
      <c r="T23" s="155"/>
    </row>
    <row r="24" spans="2:20" ht="21" customHeight="1" x14ac:dyDescent="0.35">
      <c r="B24" s="156" t="s">
        <v>612</v>
      </c>
      <c r="C24" s="157"/>
      <c r="D24" s="157"/>
      <c r="E24" s="157"/>
      <c r="F24" s="157"/>
      <c r="G24" s="157"/>
      <c r="H24" s="157"/>
      <c r="I24" s="157"/>
      <c r="J24" s="157"/>
      <c r="K24" s="156" t="s">
        <v>611</v>
      </c>
      <c r="L24" s="157"/>
      <c r="M24" s="157"/>
      <c r="N24" s="157"/>
      <c r="O24" s="157"/>
      <c r="P24" s="157"/>
      <c r="Q24" s="157"/>
      <c r="R24" s="157"/>
      <c r="S24" s="157"/>
      <c r="T24" s="157"/>
    </row>
    <row r="25" spans="2:20" ht="21" customHeight="1" x14ac:dyDescent="0.35">
      <c r="B25" s="156" t="s">
        <v>610</v>
      </c>
      <c r="C25" s="157"/>
      <c r="D25" s="157"/>
      <c r="E25" s="157"/>
      <c r="F25" s="157"/>
      <c r="G25" s="157"/>
      <c r="H25" s="157"/>
      <c r="I25" s="157"/>
      <c r="J25" s="157"/>
      <c r="K25" s="156" t="s">
        <v>609</v>
      </c>
      <c r="L25" s="157"/>
      <c r="M25" s="157"/>
      <c r="N25" s="157"/>
      <c r="O25" s="157"/>
      <c r="P25" s="157"/>
      <c r="Q25" s="157"/>
      <c r="R25" s="157"/>
      <c r="S25" s="157"/>
      <c r="T25" s="157"/>
    </row>
    <row r="26" spans="2:20" ht="21" customHeight="1" x14ac:dyDescent="0.35">
      <c r="B26" s="156" t="s">
        <v>608</v>
      </c>
      <c r="C26" s="157"/>
      <c r="D26" s="157"/>
      <c r="E26" s="157"/>
      <c r="F26" s="157"/>
      <c r="G26" s="157"/>
      <c r="H26" s="157"/>
      <c r="I26" s="157"/>
      <c r="J26" s="157"/>
      <c r="K26" s="156" t="s">
        <v>607</v>
      </c>
      <c r="L26" s="157"/>
      <c r="M26" s="157"/>
      <c r="N26" s="157"/>
      <c r="O26" s="157"/>
      <c r="P26" s="157"/>
      <c r="Q26" s="157"/>
      <c r="R26" s="157"/>
      <c r="S26" s="157"/>
      <c r="T26" s="157"/>
    </row>
    <row r="27" spans="2:20" ht="21" customHeight="1" x14ac:dyDescent="0.35">
      <c r="B27" s="156" t="s">
        <v>606</v>
      </c>
      <c r="C27" s="157"/>
      <c r="D27" s="157"/>
      <c r="E27" s="157"/>
      <c r="F27" s="157"/>
      <c r="G27" s="157"/>
      <c r="H27" s="157"/>
      <c r="I27" s="157"/>
      <c r="J27" s="157"/>
      <c r="K27" s="156" t="s">
        <v>605</v>
      </c>
      <c r="L27" s="157"/>
      <c r="M27" s="157"/>
      <c r="N27" s="157"/>
      <c r="O27" s="157"/>
      <c r="P27" s="157"/>
      <c r="Q27" s="157"/>
      <c r="R27" s="157"/>
      <c r="S27" s="157"/>
      <c r="T27" s="157"/>
    </row>
    <row r="28" spans="2:20" ht="21" customHeight="1" x14ac:dyDescent="0.35">
      <c r="B28" s="156" t="s">
        <v>604</v>
      </c>
      <c r="C28" s="157"/>
      <c r="D28" s="157"/>
      <c r="E28" s="157"/>
      <c r="F28" s="157"/>
      <c r="G28" s="157"/>
      <c r="H28" s="157"/>
      <c r="I28" s="157"/>
      <c r="J28" s="157"/>
      <c r="K28" s="156" t="s">
        <v>603</v>
      </c>
      <c r="L28" s="157"/>
      <c r="M28" s="157"/>
      <c r="N28" s="157"/>
      <c r="O28" s="157"/>
      <c r="P28" s="157"/>
      <c r="Q28" s="157"/>
      <c r="R28" s="157"/>
      <c r="S28" s="157"/>
      <c r="T28" s="157"/>
    </row>
    <row r="29" spans="2:20" ht="21" customHeight="1" x14ac:dyDescent="0.35">
      <c r="B29" s="156" t="s">
        <v>602</v>
      </c>
      <c r="C29" s="157"/>
      <c r="D29" s="157"/>
      <c r="E29" s="157"/>
      <c r="F29" s="157"/>
      <c r="G29" s="157"/>
      <c r="H29" s="157"/>
      <c r="I29" s="157"/>
      <c r="J29" s="157"/>
      <c r="K29" s="156" t="s">
        <v>601</v>
      </c>
      <c r="L29" s="157"/>
      <c r="M29" s="157"/>
      <c r="N29" s="157"/>
      <c r="O29" s="157"/>
      <c r="P29" s="157"/>
      <c r="Q29" s="157"/>
      <c r="R29" s="157"/>
      <c r="S29" s="157"/>
      <c r="T29" s="157"/>
    </row>
    <row r="30" spans="2:20" ht="21" customHeight="1" x14ac:dyDescent="0.35">
      <c r="B30" s="156" t="s">
        <v>600</v>
      </c>
      <c r="C30" s="157"/>
      <c r="D30" s="157"/>
      <c r="E30" s="157"/>
      <c r="F30" s="157"/>
      <c r="G30" s="157"/>
      <c r="H30" s="157"/>
      <c r="I30" s="157"/>
      <c r="J30" s="157"/>
      <c r="K30" s="156" t="s">
        <v>599</v>
      </c>
      <c r="L30" s="157"/>
      <c r="M30" s="157"/>
      <c r="N30" s="157"/>
      <c r="O30" s="157"/>
      <c r="P30" s="157"/>
      <c r="Q30" s="157"/>
      <c r="R30" s="157"/>
      <c r="S30" s="157"/>
      <c r="T30" s="157"/>
    </row>
    <row r="31" spans="2:20" ht="21" customHeight="1" x14ac:dyDescent="0.35">
      <c r="B31" s="156" t="s">
        <v>598</v>
      </c>
      <c r="C31" s="157"/>
      <c r="D31" s="157"/>
      <c r="E31" s="157"/>
      <c r="F31" s="157"/>
      <c r="G31" s="157"/>
      <c r="H31" s="157"/>
      <c r="I31" s="157"/>
      <c r="J31" s="157"/>
      <c r="K31" s="156" t="s">
        <v>597</v>
      </c>
      <c r="L31" s="157"/>
      <c r="M31" s="157"/>
      <c r="N31" s="157"/>
      <c r="O31" s="157"/>
      <c r="P31" s="157"/>
      <c r="Q31" s="157"/>
      <c r="R31" s="157"/>
      <c r="S31" s="157"/>
      <c r="T31" s="157"/>
    </row>
    <row r="32" spans="2:20" ht="21" customHeight="1" x14ac:dyDescent="0.35"/>
    <row r="33" spans="2:20" ht="21" customHeight="1" thickBot="1" x14ac:dyDescent="0.4">
      <c r="B33" s="154" t="s">
        <v>596</v>
      </c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</row>
    <row r="34" spans="2:20" ht="24" customHeight="1" x14ac:dyDescent="0.35">
      <c r="B34" s="149" t="s">
        <v>595</v>
      </c>
      <c r="C34" s="162" t="s">
        <v>594</v>
      </c>
      <c r="D34" s="153"/>
      <c r="E34" s="153"/>
      <c r="F34" s="153"/>
      <c r="G34" s="152" t="s">
        <v>593</v>
      </c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</row>
    <row r="35" spans="2:20" ht="24" customHeight="1" x14ac:dyDescent="0.35">
      <c r="B35" s="149" t="s">
        <v>592</v>
      </c>
      <c r="C35" s="162" t="s">
        <v>591</v>
      </c>
      <c r="D35" s="153"/>
      <c r="E35" s="153"/>
      <c r="F35" s="153"/>
      <c r="G35" s="152" t="s">
        <v>590</v>
      </c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</row>
    <row r="36" spans="2:20" ht="24" customHeight="1" x14ac:dyDescent="0.35">
      <c r="B36" s="149" t="s">
        <v>589</v>
      </c>
      <c r="C36" s="162" t="s">
        <v>588</v>
      </c>
      <c r="D36" s="153"/>
      <c r="E36" s="153"/>
      <c r="F36" s="153"/>
      <c r="G36" s="152" t="s">
        <v>587</v>
      </c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</row>
    <row r="37" spans="2:20" ht="24" customHeight="1" x14ac:dyDescent="0.35">
      <c r="B37" s="149" t="s">
        <v>586</v>
      </c>
      <c r="C37" s="162" t="s">
        <v>390</v>
      </c>
      <c r="D37" s="153"/>
      <c r="E37" s="153"/>
      <c r="F37" s="153"/>
      <c r="G37" s="152" t="s">
        <v>585</v>
      </c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</row>
    <row r="38" spans="2:20" ht="24" customHeight="1" x14ac:dyDescent="0.35">
      <c r="B38" s="149" t="s">
        <v>584</v>
      </c>
      <c r="C38" s="162" t="s">
        <v>583</v>
      </c>
      <c r="D38" s="153"/>
      <c r="E38" s="153"/>
      <c r="F38" s="153"/>
      <c r="G38" s="152" t="s">
        <v>582</v>
      </c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</row>
    <row r="39" spans="2:20" ht="24" customHeight="1" x14ac:dyDescent="0.35">
      <c r="B39" s="149" t="s">
        <v>581</v>
      </c>
      <c r="C39" s="162" t="s">
        <v>580</v>
      </c>
      <c r="D39" s="153"/>
      <c r="E39" s="153"/>
      <c r="F39" s="153"/>
      <c r="G39" s="152" t="s">
        <v>579</v>
      </c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</row>
    <row r="40" spans="2:20" ht="21" customHeight="1" x14ac:dyDescent="0.35"/>
    <row r="41" spans="2:20" ht="21" customHeight="1" x14ac:dyDescent="0.35"/>
    <row r="42" spans="2:20" ht="21" customHeight="1" thickBot="1" x14ac:dyDescent="0.4">
      <c r="B42" s="154" t="s">
        <v>578</v>
      </c>
      <c r="C42" s="155"/>
      <c r="D42" s="155"/>
      <c r="E42" s="155"/>
      <c r="F42" s="155"/>
      <c r="G42" s="155"/>
      <c r="H42" s="155"/>
      <c r="I42" s="155"/>
      <c r="J42" s="155"/>
      <c r="K42" s="154" t="s">
        <v>577</v>
      </c>
      <c r="L42" s="155"/>
      <c r="M42" s="155"/>
      <c r="N42" s="155"/>
      <c r="O42" s="155"/>
      <c r="P42" s="155"/>
      <c r="Q42" s="155"/>
      <c r="R42" s="155"/>
      <c r="S42" s="155"/>
      <c r="T42" s="155"/>
    </row>
    <row r="43" spans="2:20" ht="21" customHeight="1" x14ac:dyDescent="0.35">
      <c r="B43" s="156" t="s">
        <v>576</v>
      </c>
      <c r="C43" s="157"/>
      <c r="D43" s="157"/>
      <c r="E43" s="157"/>
      <c r="F43" s="157"/>
      <c r="G43" s="157"/>
      <c r="H43" s="157"/>
      <c r="I43" s="157"/>
      <c r="J43" s="157"/>
      <c r="K43" s="171" t="s">
        <v>575</v>
      </c>
      <c r="L43" s="171"/>
      <c r="M43" s="171"/>
      <c r="N43" s="171"/>
      <c r="O43" s="171"/>
      <c r="P43" s="171"/>
      <c r="Q43" s="171"/>
      <c r="R43" s="171"/>
      <c r="S43" s="171"/>
      <c r="T43" s="171"/>
    </row>
    <row r="44" spans="2:20" ht="21" customHeight="1" x14ac:dyDescent="0.35">
      <c r="B44" s="156" t="s">
        <v>574</v>
      </c>
      <c r="C44" s="157"/>
      <c r="D44" s="157"/>
      <c r="E44" s="157"/>
      <c r="F44" s="157"/>
      <c r="G44" s="157"/>
      <c r="H44" s="157"/>
      <c r="I44" s="157"/>
      <c r="J44" s="157"/>
      <c r="K44" s="172"/>
      <c r="L44" s="172"/>
      <c r="M44" s="172"/>
      <c r="N44" s="172"/>
      <c r="O44" s="172"/>
      <c r="P44" s="172"/>
      <c r="Q44" s="172"/>
      <c r="R44" s="172"/>
      <c r="S44" s="172"/>
      <c r="T44" s="172"/>
    </row>
    <row r="45" spans="2:20" ht="21" customHeight="1" x14ac:dyDescent="0.35">
      <c r="B45" s="156" t="s">
        <v>573</v>
      </c>
      <c r="C45" s="157"/>
      <c r="D45" s="157"/>
      <c r="E45" s="157"/>
      <c r="F45" s="157"/>
      <c r="G45" s="157"/>
      <c r="H45" s="157"/>
      <c r="I45" s="157"/>
      <c r="J45" s="157"/>
      <c r="K45" s="172"/>
      <c r="L45" s="172"/>
      <c r="M45" s="172"/>
      <c r="N45" s="172"/>
      <c r="O45" s="172"/>
      <c r="P45" s="172"/>
      <c r="Q45" s="172"/>
      <c r="R45" s="172"/>
      <c r="S45" s="172"/>
      <c r="T45" s="172"/>
    </row>
    <row r="46" spans="2:20" ht="21" customHeight="1" x14ac:dyDescent="0.35">
      <c r="B46" s="156" t="s">
        <v>572</v>
      </c>
      <c r="C46" s="157"/>
      <c r="D46" s="157"/>
      <c r="E46" s="157"/>
      <c r="F46" s="157"/>
      <c r="G46" s="157"/>
      <c r="H46" s="157"/>
      <c r="I46" s="157"/>
      <c r="J46" s="157"/>
      <c r="K46" s="173"/>
      <c r="L46" s="173"/>
      <c r="M46" s="173"/>
      <c r="N46" s="173"/>
      <c r="O46" s="173"/>
      <c r="P46" s="173"/>
      <c r="Q46" s="173"/>
      <c r="R46" s="173"/>
      <c r="S46" s="173"/>
      <c r="T46" s="173"/>
    </row>
    <row r="47" spans="2:20" ht="25" customHeight="1" x14ac:dyDescent="0.35">
      <c r="B47" s="170" t="s">
        <v>571</v>
      </c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</row>
    <row r="48" spans="2:20" ht="25" customHeight="1" x14ac:dyDescent="0.35"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</row>
    <row r="49" spans="2:20" ht="21" customHeight="1" x14ac:dyDescent="0.35">
      <c r="B49" s="167" t="s">
        <v>522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</row>
    <row r="50" spans="2:20" ht="15.5" x14ac:dyDescent="0.35">
      <c r="B50" s="156" t="s">
        <v>570</v>
      </c>
      <c r="C50" s="157"/>
      <c r="D50" s="157"/>
      <c r="E50" s="157"/>
      <c r="F50" s="157"/>
      <c r="G50" s="157"/>
      <c r="H50" s="157"/>
      <c r="I50" s="157"/>
      <c r="J50" s="157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64">
    <mergeCell ref="K7:T7"/>
    <mergeCell ref="C37:F37"/>
    <mergeCell ref="G36:T36"/>
    <mergeCell ref="K14:T16"/>
    <mergeCell ref="B44:J44"/>
    <mergeCell ref="B33:T33"/>
    <mergeCell ref="B29:J29"/>
    <mergeCell ref="K10:T10"/>
    <mergeCell ref="K28:T28"/>
    <mergeCell ref="B19:T21"/>
    <mergeCell ref="B23:J23"/>
    <mergeCell ref="C38:F38"/>
    <mergeCell ref="K42:T42"/>
    <mergeCell ref="K27:T27"/>
    <mergeCell ref="C39:F39"/>
    <mergeCell ref="B42:J42"/>
    <mergeCell ref="B5:T5"/>
    <mergeCell ref="K13:T13"/>
    <mergeCell ref="G39:T39"/>
    <mergeCell ref="B28:J28"/>
    <mergeCell ref="C34:F34"/>
    <mergeCell ref="C10:J10"/>
    <mergeCell ref="G38:T38"/>
    <mergeCell ref="C14:J14"/>
    <mergeCell ref="C15:J15"/>
    <mergeCell ref="K23:T23"/>
    <mergeCell ref="G37:T37"/>
    <mergeCell ref="B24:J24"/>
    <mergeCell ref="B30:J30"/>
    <mergeCell ref="C9:J9"/>
    <mergeCell ref="K24:T24"/>
    <mergeCell ref="C36:F36"/>
    <mergeCell ref="B50:J50"/>
    <mergeCell ref="B18:T18"/>
    <mergeCell ref="B26:J26"/>
    <mergeCell ref="K26:T26"/>
    <mergeCell ref="K29:T29"/>
    <mergeCell ref="G35:T35"/>
    <mergeCell ref="B46:J46"/>
    <mergeCell ref="B43:J43"/>
    <mergeCell ref="K25:T25"/>
    <mergeCell ref="C35:F35"/>
    <mergeCell ref="B45:J45"/>
    <mergeCell ref="G34:T34"/>
    <mergeCell ref="K30:T30"/>
    <mergeCell ref="B49:T49"/>
    <mergeCell ref="B47:T48"/>
    <mergeCell ref="K43:T46"/>
    <mergeCell ref="B2:T2"/>
    <mergeCell ref="C8:J8"/>
    <mergeCell ref="B7:J7"/>
    <mergeCell ref="B25:J25"/>
    <mergeCell ref="K31:T31"/>
    <mergeCell ref="B31:J31"/>
    <mergeCell ref="K12:T12"/>
    <mergeCell ref="B27:J27"/>
    <mergeCell ref="C13:J13"/>
    <mergeCell ref="K8:T8"/>
    <mergeCell ref="B3:T3"/>
    <mergeCell ref="C12:J12"/>
    <mergeCell ref="K9:T9"/>
    <mergeCell ref="C11:J11"/>
    <mergeCell ref="K11:T11"/>
    <mergeCell ref="B4:T4"/>
  </mergeCells>
  <pageMargins left="0.25" right="0.25" top="0.35" bottom="0.35" header="0.5" footer="0.5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DDB6-945D-4B3D-9473-E4667A781902}">
  <dimension ref="A1:F55"/>
  <sheetViews>
    <sheetView tabSelected="1" topLeftCell="A17" zoomScale="89" zoomScaleNormal="178" workbookViewId="0">
      <selection sqref="A1:T51"/>
    </sheetView>
  </sheetViews>
  <sheetFormatPr defaultRowHeight="14.5" x14ac:dyDescent="0.35"/>
  <cols>
    <col min="1" max="1" width="10.54296875" bestFit="1" customWidth="1"/>
    <col min="2" max="2" width="52.08984375" customWidth="1"/>
    <col min="3" max="3" width="17.453125" style="5" bestFit="1" customWidth="1"/>
    <col min="4" max="4" width="17.453125" style="7" bestFit="1" customWidth="1"/>
    <col min="5" max="5" width="11.36328125" bestFit="1" customWidth="1"/>
    <col min="6" max="6" width="14" customWidth="1"/>
  </cols>
  <sheetData>
    <row r="1" spans="1:6" ht="55.5" customHeight="1" x14ac:dyDescent="0.7">
      <c r="A1" s="174" t="s">
        <v>501</v>
      </c>
      <c r="B1" s="175"/>
      <c r="C1" s="175"/>
      <c r="D1" s="175"/>
    </row>
    <row r="2" spans="1:6" ht="15.5" x14ac:dyDescent="0.35">
      <c r="A2" s="2"/>
      <c r="B2" s="2"/>
      <c r="C2" s="9" t="s">
        <v>122</v>
      </c>
      <c r="D2" s="10" t="s">
        <v>123</v>
      </c>
      <c r="E2" s="2"/>
      <c r="F2" s="2"/>
    </row>
    <row r="3" spans="1:6" ht="15.5" x14ac:dyDescent="0.35">
      <c r="A3" s="2"/>
      <c r="B3" s="3" t="s">
        <v>0</v>
      </c>
      <c r="C3" s="4"/>
      <c r="D3" s="6"/>
      <c r="E3" s="2"/>
      <c r="F3" s="2"/>
    </row>
    <row r="4" spans="1:6" ht="15.5" x14ac:dyDescent="0.35">
      <c r="A4" s="2"/>
      <c r="B4" s="3" t="s">
        <v>1</v>
      </c>
      <c r="C4" s="4"/>
      <c r="D4" s="6"/>
      <c r="E4" s="2"/>
      <c r="F4" s="2"/>
    </row>
    <row r="5" spans="1:6" ht="15.5" x14ac:dyDescent="0.35">
      <c r="A5" s="2" t="s">
        <v>2</v>
      </c>
      <c r="B5" s="2" t="s">
        <v>3</v>
      </c>
      <c r="C5" s="8" t="s">
        <v>4</v>
      </c>
      <c r="D5" s="6" t="s">
        <v>5</v>
      </c>
      <c r="E5" s="2"/>
      <c r="F5" s="2"/>
    </row>
    <row r="6" spans="1:6" ht="15.5" x14ac:dyDescent="0.35">
      <c r="A6" s="2" t="s">
        <v>6</v>
      </c>
      <c r="B6" s="2" t="s">
        <v>7</v>
      </c>
      <c r="C6" s="4" t="s">
        <v>8</v>
      </c>
      <c r="D6" s="6" t="s">
        <v>9</v>
      </c>
      <c r="E6" s="2"/>
      <c r="F6" s="2"/>
    </row>
    <row r="7" spans="1:6" ht="15.5" x14ac:dyDescent="0.35">
      <c r="A7" s="2" t="s">
        <v>10</v>
      </c>
      <c r="B7" s="2" t="s">
        <v>11</v>
      </c>
      <c r="C7" s="4" t="s">
        <v>12</v>
      </c>
      <c r="D7" s="6" t="s">
        <v>13</v>
      </c>
      <c r="E7" s="2"/>
      <c r="F7" s="2"/>
    </row>
    <row r="8" spans="1:6" ht="15.5" x14ac:dyDescent="0.35">
      <c r="A8" s="2" t="s">
        <v>14</v>
      </c>
      <c r="B8" s="2" t="s">
        <v>15</v>
      </c>
      <c r="C8" s="4" t="s">
        <v>16</v>
      </c>
      <c r="D8" s="6" t="s">
        <v>17</v>
      </c>
      <c r="E8" s="2"/>
      <c r="F8" s="2"/>
    </row>
    <row r="9" spans="1:6" ht="15.5" x14ac:dyDescent="0.35">
      <c r="A9" s="2" t="s">
        <v>18</v>
      </c>
      <c r="B9" s="2" t="s">
        <v>19</v>
      </c>
      <c r="C9" s="4" t="s">
        <v>20</v>
      </c>
      <c r="D9" s="6" t="s">
        <v>20</v>
      </c>
      <c r="E9" s="2"/>
      <c r="F9" s="2"/>
    </row>
    <row r="10" spans="1:6" ht="15.5" x14ac:dyDescent="0.35">
      <c r="A10" s="2" t="s">
        <v>21</v>
      </c>
      <c r="B10" s="2" t="s">
        <v>22</v>
      </c>
      <c r="C10" s="4" t="s">
        <v>23</v>
      </c>
      <c r="D10" s="6" t="s">
        <v>24</v>
      </c>
      <c r="E10" s="2"/>
      <c r="F10" s="2"/>
    </row>
    <row r="11" spans="1:6" ht="15.5" x14ac:dyDescent="0.35">
      <c r="A11" s="2" t="s">
        <v>25</v>
      </c>
      <c r="B11" s="2" t="s">
        <v>26</v>
      </c>
      <c r="C11" s="4"/>
      <c r="D11" s="6"/>
      <c r="E11" s="2"/>
      <c r="F11" s="2"/>
    </row>
    <row r="12" spans="1:6" ht="15.5" x14ac:dyDescent="0.35">
      <c r="A12" s="2"/>
      <c r="B12" s="16" t="s">
        <v>124</v>
      </c>
      <c r="C12" s="4" t="s">
        <v>28</v>
      </c>
      <c r="D12" s="6" t="s">
        <v>29</v>
      </c>
      <c r="E12" s="2"/>
      <c r="F12" s="2"/>
    </row>
    <row r="13" spans="1:6" ht="15.5" x14ac:dyDescent="0.35">
      <c r="A13" s="2"/>
      <c r="B13" s="16" t="s">
        <v>125</v>
      </c>
      <c r="C13" s="4" t="s">
        <v>30</v>
      </c>
      <c r="D13" s="6" t="s">
        <v>31</v>
      </c>
      <c r="E13" s="2"/>
      <c r="F13" s="2"/>
    </row>
    <row r="14" spans="1:6" ht="15.5" x14ac:dyDescent="0.35">
      <c r="A14" s="2" t="s">
        <v>32</v>
      </c>
      <c r="B14" s="2" t="s">
        <v>33</v>
      </c>
      <c r="C14" s="4" t="s">
        <v>34</v>
      </c>
      <c r="D14" s="6" t="s">
        <v>35</v>
      </c>
      <c r="E14" s="2"/>
      <c r="F14" s="2"/>
    </row>
    <row r="15" spans="1:6" ht="15.5" x14ac:dyDescent="0.35">
      <c r="A15" s="2" t="s">
        <v>27</v>
      </c>
      <c r="B15" s="2" t="s">
        <v>36</v>
      </c>
      <c r="C15" s="4" t="s">
        <v>37</v>
      </c>
      <c r="D15" s="6" t="s">
        <v>38</v>
      </c>
      <c r="E15" s="2"/>
      <c r="F15" s="2"/>
    </row>
    <row r="16" spans="1:6" ht="15.5" x14ac:dyDescent="0.35">
      <c r="A16" s="2" t="s">
        <v>39</v>
      </c>
      <c r="B16" s="2" t="s">
        <v>40</v>
      </c>
      <c r="C16" s="4" t="s">
        <v>41</v>
      </c>
      <c r="D16" s="6" t="s">
        <v>42</v>
      </c>
      <c r="E16" s="2"/>
      <c r="F16" s="2"/>
    </row>
    <row r="17" spans="1:6" ht="15.5" x14ac:dyDescent="0.35">
      <c r="A17" s="11"/>
      <c r="B17" s="13" t="s">
        <v>43</v>
      </c>
      <c r="C17" s="14" t="s">
        <v>44</v>
      </c>
      <c r="D17" s="15" t="s">
        <v>45</v>
      </c>
      <c r="E17" s="2"/>
      <c r="F17" s="2"/>
    </row>
    <row r="18" spans="1:6" ht="15.5" x14ac:dyDescent="0.35">
      <c r="A18" s="2"/>
      <c r="B18" s="3" t="s">
        <v>46</v>
      </c>
      <c r="C18" s="4"/>
      <c r="D18" s="6"/>
      <c r="E18" s="2"/>
      <c r="F18" s="2"/>
    </row>
    <row r="19" spans="1:6" ht="15.5" x14ac:dyDescent="0.35">
      <c r="A19" s="2" t="s">
        <v>2</v>
      </c>
      <c r="B19" s="2" t="s">
        <v>47</v>
      </c>
      <c r="C19" s="4" t="s">
        <v>48</v>
      </c>
      <c r="D19" s="6" t="s">
        <v>49</v>
      </c>
      <c r="E19" s="2"/>
      <c r="F19" s="2"/>
    </row>
    <row r="20" spans="1:6" ht="15.5" x14ac:dyDescent="0.35">
      <c r="A20" s="2" t="s">
        <v>6</v>
      </c>
      <c r="B20" s="2" t="s">
        <v>26</v>
      </c>
      <c r="C20" s="4"/>
      <c r="D20" s="6"/>
      <c r="E20" s="2"/>
      <c r="F20" s="2"/>
    </row>
    <row r="21" spans="1:6" ht="15.5" x14ac:dyDescent="0.35">
      <c r="A21" s="2"/>
      <c r="B21" s="16" t="s">
        <v>126</v>
      </c>
      <c r="C21" s="4" t="s">
        <v>50</v>
      </c>
      <c r="D21" s="6" t="s">
        <v>51</v>
      </c>
      <c r="E21" s="2"/>
      <c r="F21" s="2"/>
    </row>
    <row r="22" spans="1:6" ht="15.5" x14ac:dyDescent="0.35">
      <c r="A22" s="2"/>
      <c r="B22" s="16" t="s">
        <v>343</v>
      </c>
      <c r="C22" s="2">
        <v>66.89</v>
      </c>
      <c r="D22" s="2">
        <v>43.58</v>
      </c>
      <c r="E22" s="2"/>
      <c r="F22" s="2"/>
    </row>
    <row r="23" spans="1:6" ht="15.5" x14ac:dyDescent="0.35">
      <c r="A23" s="2"/>
      <c r="B23" s="16" t="s">
        <v>344</v>
      </c>
      <c r="C23" s="4" t="s">
        <v>52</v>
      </c>
      <c r="D23" s="6" t="s">
        <v>53</v>
      </c>
      <c r="E23" s="2"/>
      <c r="F23" s="2"/>
    </row>
    <row r="24" spans="1:6" ht="15.5" x14ac:dyDescent="0.35">
      <c r="A24" s="2"/>
      <c r="B24" s="16" t="s">
        <v>345</v>
      </c>
      <c r="C24" s="4" t="s">
        <v>54</v>
      </c>
      <c r="D24" s="6" t="s">
        <v>55</v>
      </c>
      <c r="E24" s="2"/>
      <c r="F24" s="2"/>
    </row>
    <row r="25" spans="1:6" ht="15.5" x14ac:dyDescent="0.35">
      <c r="A25" s="2"/>
      <c r="B25" s="16" t="s">
        <v>346</v>
      </c>
      <c r="C25" s="4" t="s">
        <v>56</v>
      </c>
      <c r="D25" s="6" t="s">
        <v>57</v>
      </c>
      <c r="E25" s="2"/>
      <c r="F25" s="2"/>
    </row>
    <row r="26" spans="1:6" ht="15.5" x14ac:dyDescent="0.35">
      <c r="A26" s="2" t="s">
        <v>10</v>
      </c>
      <c r="B26" s="2" t="s">
        <v>58</v>
      </c>
      <c r="C26" s="4" t="s">
        <v>59</v>
      </c>
      <c r="D26" s="6" t="s">
        <v>60</v>
      </c>
      <c r="E26" s="2"/>
      <c r="F26" s="2"/>
    </row>
    <row r="27" spans="1:6" ht="15.5" x14ac:dyDescent="0.35">
      <c r="A27" s="11"/>
      <c r="B27" s="13" t="s">
        <v>61</v>
      </c>
      <c r="C27" s="14" t="s">
        <v>62</v>
      </c>
      <c r="D27" s="15" t="s">
        <v>63</v>
      </c>
      <c r="E27" s="2"/>
      <c r="F27" s="2"/>
    </row>
    <row r="28" spans="1:6" ht="15.5" x14ac:dyDescent="0.35">
      <c r="A28" s="11"/>
      <c r="B28" s="13" t="s">
        <v>64</v>
      </c>
      <c r="C28" s="14" t="s">
        <v>65</v>
      </c>
      <c r="D28" s="15" t="s">
        <v>66</v>
      </c>
      <c r="E28" s="2"/>
      <c r="F28" s="2"/>
    </row>
    <row r="29" spans="1:6" ht="15.5" x14ac:dyDescent="0.35">
      <c r="A29" s="2"/>
      <c r="B29" s="3" t="s">
        <v>67</v>
      </c>
      <c r="C29" s="4"/>
      <c r="D29" s="6"/>
      <c r="E29" s="2"/>
      <c r="F29" s="2"/>
    </row>
    <row r="30" spans="1:6" ht="15.5" x14ac:dyDescent="0.35">
      <c r="A30" s="2"/>
      <c r="B30" s="3" t="s">
        <v>68</v>
      </c>
      <c r="C30" s="4"/>
      <c r="D30" s="6"/>
      <c r="E30" s="2"/>
      <c r="F30" s="2"/>
    </row>
    <row r="31" spans="1:6" ht="15.5" x14ac:dyDescent="0.35">
      <c r="A31" s="2" t="s">
        <v>2</v>
      </c>
      <c r="B31" s="2" t="s">
        <v>69</v>
      </c>
      <c r="C31" s="4" t="s">
        <v>70</v>
      </c>
      <c r="D31" s="6" t="s">
        <v>70</v>
      </c>
      <c r="E31" s="2"/>
      <c r="F31" s="2"/>
    </row>
    <row r="32" spans="1:6" ht="15.5" x14ac:dyDescent="0.35">
      <c r="A32" s="2" t="s">
        <v>6</v>
      </c>
      <c r="B32" s="2" t="s">
        <v>71</v>
      </c>
      <c r="C32" s="4" t="s">
        <v>72</v>
      </c>
      <c r="D32" s="6" t="s">
        <v>73</v>
      </c>
      <c r="E32" s="2"/>
      <c r="F32" s="2"/>
    </row>
    <row r="33" spans="1:6" ht="15.5" x14ac:dyDescent="0.35">
      <c r="A33" s="2"/>
      <c r="B33" s="3" t="s">
        <v>74</v>
      </c>
      <c r="C33" s="4" t="s">
        <v>75</v>
      </c>
      <c r="D33" s="6" t="s">
        <v>76</v>
      </c>
      <c r="E33" s="2"/>
      <c r="F33" s="2"/>
    </row>
    <row r="34" spans="1:6" ht="15.5" x14ac:dyDescent="0.35">
      <c r="A34" s="2"/>
      <c r="B34" s="3" t="s">
        <v>77</v>
      </c>
      <c r="C34" s="4" t="s">
        <v>78</v>
      </c>
      <c r="D34" s="6" t="s">
        <v>79</v>
      </c>
      <c r="E34" s="2"/>
      <c r="F34" s="2"/>
    </row>
    <row r="35" spans="1:6" ht="15.5" x14ac:dyDescent="0.35">
      <c r="A35" s="12"/>
      <c r="B35" s="13" t="s">
        <v>80</v>
      </c>
      <c r="C35" s="14" t="s">
        <v>81</v>
      </c>
      <c r="D35" s="15" t="s">
        <v>82</v>
      </c>
      <c r="E35" s="2"/>
      <c r="F35" s="2"/>
    </row>
    <row r="36" spans="1:6" ht="15.5" x14ac:dyDescent="0.35">
      <c r="A36" s="2"/>
      <c r="B36" s="3" t="s">
        <v>83</v>
      </c>
      <c r="C36" s="4"/>
      <c r="D36" s="6"/>
      <c r="E36" s="2"/>
      <c r="F36" s="2"/>
    </row>
    <row r="37" spans="1:6" ht="15.5" x14ac:dyDescent="0.35">
      <c r="A37" s="2"/>
      <c r="B37" s="3" t="s">
        <v>84</v>
      </c>
      <c r="C37" s="4"/>
      <c r="D37" s="6"/>
      <c r="E37" s="2"/>
      <c r="F37" s="2"/>
    </row>
    <row r="38" spans="1:6" ht="15.5" x14ac:dyDescent="0.35">
      <c r="A38" s="2" t="s">
        <v>2</v>
      </c>
      <c r="B38" s="2" t="s">
        <v>85</v>
      </c>
      <c r="C38" s="4"/>
      <c r="D38" s="6"/>
      <c r="E38" s="2"/>
      <c r="F38" s="2"/>
    </row>
    <row r="39" spans="1:6" ht="15.5" x14ac:dyDescent="0.35">
      <c r="A39" s="2"/>
      <c r="B39" s="16" t="s">
        <v>127</v>
      </c>
      <c r="C39" s="4" t="s">
        <v>86</v>
      </c>
      <c r="D39" s="6" t="s">
        <v>87</v>
      </c>
      <c r="E39" s="2"/>
      <c r="F39" s="2"/>
    </row>
    <row r="40" spans="1:6" ht="15.5" x14ac:dyDescent="0.35">
      <c r="A40" s="2"/>
      <c r="B40" s="2" t="s">
        <v>128</v>
      </c>
      <c r="C40" s="4" t="s">
        <v>88</v>
      </c>
      <c r="D40" s="6" t="s">
        <v>89</v>
      </c>
      <c r="E40" s="2"/>
      <c r="F40" s="2"/>
    </row>
    <row r="41" spans="1:6" ht="15.5" x14ac:dyDescent="0.35">
      <c r="A41" s="2" t="s">
        <v>6</v>
      </c>
      <c r="B41" s="16" t="s">
        <v>90</v>
      </c>
      <c r="C41" s="4" t="s">
        <v>91</v>
      </c>
      <c r="D41" s="6" t="s">
        <v>92</v>
      </c>
      <c r="E41" s="2"/>
      <c r="F41" s="2"/>
    </row>
    <row r="42" spans="1:6" ht="15.5" x14ac:dyDescent="0.35">
      <c r="A42" s="2" t="s">
        <v>10</v>
      </c>
      <c r="B42" s="16" t="s">
        <v>93</v>
      </c>
      <c r="C42" s="4" t="s">
        <v>94</v>
      </c>
      <c r="D42" s="6" t="s">
        <v>95</v>
      </c>
      <c r="E42" s="2"/>
      <c r="F42" s="2"/>
    </row>
    <row r="43" spans="1:6" ht="15.5" x14ac:dyDescent="0.35">
      <c r="A43" s="11"/>
      <c r="B43" s="13" t="s">
        <v>96</v>
      </c>
      <c r="C43" s="14" t="s">
        <v>97</v>
      </c>
      <c r="D43" s="15" t="s">
        <v>98</v>
      </c>
      <c r="E43" s="2"/>
      <c r="F43" s="2"/>
    </row>
    <row r="44" spans="1:6" ht="15.5" x14ac:dyDescent="0.35">
      <c r="A44" s="2"/>
      <c r="B44" s="3" t="s">
        <v>99</v>
      </c>
      <c r="C44" s="4"/>
      <c r="D44" s="6"/>
      <c r="E44" s="2"/>
      <c r="F44" s="2"/>
    </row>
    <row r="45" spans="1:6" ht="15.5" x14ac:dyDescent="0.35">
      <c r="A45" s="2" t="s">
        <v>2</v>
      </c>
      <c r="B45" s="2" t="s">
        <v>85</v>
      </c>
      <c r="C45" s="4"/>
      <c r="D45" s="6"/>
      <c r="E45" s="2"/>
      <c r="F45" s="2"/>
    </row>
    <row r="46" spans="1:6" ht="15.5" x14ac:dyDescent="0.35">
      <c r="A46" s="2"/>
      <c r="B46" s="2" t="s">
        <v>127</v>
      </c>
      <c r="C46" s="4" t="s">
        <v>100</v>
      </c>
      <c r="D46" s="6" t="s">
        <v>101</v>
      </c>
      <c r="E46" s="2"/>
      <c r="F46" s="2"/>
    </row>
    <row r="47" spans="1:6" ht="15.5" x14ac:dyDescent="0.35">
      <c r="A47" s="2"/>
      <c r="B47" s="2" t="s">
        <v>129</v>
      </c>
      <c r="C47" s="4"/>
      <c r="D47" s="6"/>
      <c r="E47" s="2"/>
      <c r="F47" s="2"/>
    </row>
    <row r="48" spans="1:6" ht="15.5" x14ac:dyDescent="0.35">
      <c r="A48" s="2"/>
      <c r="B48" s="17" t="s">
        <v>102</v>
      </c>
      <c r="C48" s="4" t="s">
        <v>103</v>
      </c>
      <c r="D48" s="6" t="s">
        <v>104</v>
      </c>
      <c r="E48" s="28"/>
      <c r="F48" s="2"/>
    </row>
    <row r="49" spans="1:6" ht="15.5" x14ac:dyDescent="0.35">
      <c r="A49" s="2"/>
      <c r="B49" s="17" t="s">
        <v>105</v>
      </c>
      <c r="C49" s="4" t="s">
        <v>106</v>
      </c>
      <c r="D49" s="6" t="s">
        <v>107</v>
      </c>
      <c r="E49" s="28"/>
      <c r="F49" s="28"/>
    </row>
    <row r="50" spans="1:6" ht="15.5" x14ac:dyDescent="0.35">
      <c r="A50" s="2"/>
      <c r="B50" s="2" t="s">
        <v>130</v>
      </c>
      <c r="C50" s="4" t="s">
        <v>108</v>
      </c>
      <c r="D50" s="6" t="s">
        <v>109</v>
      </c>
      <c r="E50" s="2"/>
      <c r="F50" s="2"/>
    </row>
    <row r="51" spans="1:6" ht="15.5" x14ac:dyDescent="0.35">
      <c r="A51" s="2" t="s">
        <v>6</v>
      </c>
      <c r="B51" s="16" t="s">
        <v>110</v>
      </c>
      <c r="C51" s="4" t="s">
        <v>111</v>
      </c>
      <c r="D51" s="6" t="s">
        <v>112</v>
      </c>
      <c r="E51" s="2"/>
      <c r="F51" s="2"/>
    </row>
    <row r="52" spans="1:6" ht="15.5" x14ac:dyDescent="0.35">
      <c r="A52" s="2" t="s">
        <v>10</v>
      </c>
      <c r="B52" s="16" t="s">
        <v>113</v>
      </c>
      <c r="C52" s="4" t="s">
        <v>114</v>
      </c>
      <c r="D52" s="6" t="s">
        <v>115</v>
      </c>
      <c r="E52" s="2"/>
      <c r="F52" s="2"/>
    </row>
    <row r="53" spans="1:6" ht="15.5" x14ac:dyDescent="0.35">
      <c r="A53" s="2" t="s">
        <v>14</v>
      </c>
      <c r="B53" s="16" t="s">
        <v>90</v>
      </c>
      <c r="C53" s="4" t="s">
        <v>116</v>
      </c>
      <c r="D53" s="6" t="s">
        <v>117</v>
      </c>
      <c r="E53" s="2"/>
      <c r="F53" s="2"/>
    </row>
    <row r="54" spans="1:6" ht="15.5" x14ac:dyDescent="0.35">
      <c r="A54" s="13"/>
      <c r="B54" s="13" t="s">
        <v>118</v>
      </c>
      <c r="C54" s="14" t="s">
        <v>119</v>
      </c>
      <c r="D54" s="15" t="s">
        <v>120</v>
      </c>
      <c r="E54" s="2"/>
      <c r="F54" s="2"/>
    </row>
    <row r="55" spans="1:6" ht="15.5" x14ac:dyDescent="0.35">
      <c r="A55" s="13"/>
      <c r="B55" s="13" t="s">
        <v>121</v>
      </c>
      <c r="C55" s="14" t="s">
        <v>65</v>
      </c>
      <c r="D55" s="15" t="s">
        <v>66</v>
      </c>
      <c r="E55" s="2"/>
      <c r="F55" s="2"/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9426-8357-4D6D-B831-5F8256D5B06E}">
  <dimension ref="A1:C39"/>
  <sheetViews>
    <sheetView tabSelected="1" zoomScale="66" workbookViewId="0">
      <selection sqref="A1:T51"/>
    </sheetView>
  </sheetViews>
  <sheetFormatPr defaultRowHeight="14.5" x14ac:dyDescent="0.35"/>
  <cols>
    <col min="1" max="1" width="76.90625" customWidth="1"/>
    <col min="2" max="2" width="20.90625" customWidth="1"/>
    <col min="3" max="3" width="16.08984375" customWidth="1"/>
  </cols>
  <sheetData>
    <row r="1" spans="1:3" ht="38" customHeight="1" x14ac:dyDescent="0.55000000000000004">
      <c r="A1" s="176" t="s">
        <v>502</v>
      </c>
      <c r="B1" s="177"/>
      <c r="C1" s="177"/>
    </row>
    <row r="2" spans="1:3" x14ac:dyDescent="0.35">
      <c r="B2" s="1" t="s">
        <v>122</v>
      </c>
      <c r="C2" s="1" t="s">
        <v>123</v>
      </c>
    </row>
    <row r="3" spans="1:3" x14ac:dyDescent="0.35">
      <c r="A3" s="1" t="s">
        <v>132</v>
      </c>
    </row>
    <row r="4" spans="1:3" x14ac:dyDescent="0.35">
      <c r="A4" s="23" t="s">
        <v>133</v>
      </c>
      <c r="B4" s="7" t="s">
        <v>134</v>
      </c>
      <c r="C4" s="7" t="s">
        <v>135</v>
      </c>
    </row>
    <row r="5" spans="1:3" x14ac:dyDescent="0.35">
      <c r="A5" s="23" t="s">
        <v>136</v>
      </c>
      <c r="B5" s="7" t="s">
        <v>137</v>
      </c>
      <c r="C5" s="7" t="s">
        <v>138</v>
      </c>
    </row>
    <row r="6" spans="1:3" x14ac:dyDescent="0.35">
      <c r="A6" s="19" t="s">
        <v>139</v>
      </c>
      <c r="B6" s="20" t="s">
        <v>140</v>
      </c>
      <c r="C6" s="20" t="s">
        <v>141</v>
      </c>
    </row>
    <row r="7" spans="1:3" x14ac:dyDescent="0.35">
      <c r="A7" s="1" t="s">
        <v>142</v>
      </c>
      <c r="B7" s="7"/>
      <c r="C7" s="7"/>
    </row>
    <row r="8" spans="1:3" x14ac:dyDescent="0.35">
      <c r="A8" s="23" t="s">
        <v>143</v>
      </c>
      <c r="B8" s="7" t="s">
        <v>144</v>
      </c>
      <c r="C8" s="7" t="s">
        <v>145</v>
      </c>
    </row>
    <row r="9" spans="1:3" x14ac:dyDescent="0.35">
      <c r="A9" s="23" t="s">
        <v>146</v>
      </c>
      <c r="B9" s="7" t="s">
        <v>147</v>
      </c>
      <c r="C9" s="7" t="s">
        <v>148</v>
      </c>
    </row>
    <row r="10" spans="1:3" x14ac:dyDescent="0.35">
      <c r="A10" s="23" t="s">
        <v>149</v>
      </c>
      <c r="B10" s="7" t="s">
        <v>150</v>
      </c>
      <c r="C10" s="7" t="s">
        <v>151</v>
      </c>
    </row>
    <row r="11" spans="1:3" x14ac:dyDescent="0.35">
      <c r="A11" s="23" t="s">
        <v>152</v>
      </c>
      <c r="B11" s="7" t="s">
        <v>153</v>
      </c>
      <c r="C11" s="7" t="s">
        <v>154</v>
      </c>
    </row>
    <row r="12" spans="1:3" x14ac:dyDescent="0.35">
      <c r="A12" s="23" t="s">
        <v>155</v>
      </c>
      <c r="B12" s="7" t="s">
        <v>156</v>
      </c>
      <c r="C12" s="7" t="s">
        <v>157</v>
      </c>
    </row>
    <row r="13" spans="1:3" x14ac:dyDescent="0.35">
      <c r="A13" s="23" t="s">
        <v>158</v>
      </c>
      <c r="B13" s="7" t="s">
        <v>159</v>
      </c>
      <c r="C13" s="7" t="s">
        <v>160</v>
      </c>
    </row>
    <row r="14" spans="1:3" x14ac:dyDescent="0.35">
      <c r="A14" s="19" t="s">
        <v>161</v>
      </c>
      <c r="B14" s="20" t="s">
        <v>162</v>
      </c>
      <c r="C14" s="20" t="s">
        <v>163</v>
      </c>
    </row>
    <row r="15" spans="1:3" ht="15" customHeight="1" x14ac:dyDescent="0.35">
      <c r="A15" s="22" t="s">
        <v>209</v>
      </c>
      <c r="B15" s="18" t="s">
        <v>164</v>
      </c>
      <c r="C15" s="18" t="s">
        <v>165</v>
      </c>
    </row>
    <row r="16" spans="1:3" ht="15" customHeight="1" x14ac:dyDescent="0.35">
      <c r="A16" s="22" t="s">
        <v>210</v>
      </c>
      <c r="B16" s="7"/>
      <c r="C16" s="7"/>
    </row>
    <row r="17" spans="1:3" x14ac:dyDescent="0.35">
      <c r="A17" s="23" t="s">
        <v>166</v>
      </c>
      <c r="B17" s="7" t="s">
        <v>167</v>
      </c>
      <c r="C17" s="7" t="s">
        <v>168</v>
      </c>
    </row>
    <row r="18" spans="1:3" x14ac:dyDescent="0.35">
      <c r="A18" s="23" t="s">
        <v>169</v>
      </c>
      <c r="B18" s="7" t="s">
        <v>170</v>
      </c>
      <c r="C18" s="7" t="s">
        <v>171</v>
      </c>
    </row>
    <row r="19" spans="1:3" x14ac:dyDescent="0.35">
      <c r="A19" s="23" t="s">
        <v>172</v>
      </c>
      <c r="B19" s="7" t="s">
        <v>173</v>
      </c>
      <c r="C19" s="7" t="s">
        <v>174</v>
      </c>
    </row>
    <row r="20" spans="1:3" x14ac:dyDescent="0.35">
      <c r="A20" s="19" t="s">
        <v>175</v>
      </c>
      <c r="B20" s="20" t="s">
        <v>176</v>
      </c>
      <c r="C20" s="20" t="s">
        <v>177</v>
      </c>
    </row>
    <row r="21" spans="1:3" x14ac:dyDescent="0.35">
      <c r="A21" s="1" t="s">
        <v>211</v>
      </c>
      <c r="B21" s="18" t="s">
        <v>178</v>
      </c>
      <c r="C21" s="18" t="s">
        <v>179</v>
      </c>
    </row>
    <row r="22" spans="1:3" x14ac:dyDescent="0.35">
      <c r="A22" s="1" t="s">
        <v>212</v>
      </c>
      <c r="B22" s="7"/>
      <c r="C22" s="7"/>
    </row>
    <row r="23" spans="1:3" x14ac:dyDescent="0.35">
      <c r="A23" s="1" t="s">
        <v>180</v>
      </c>
      <c r="B23" s="7"/>
      <c r="C23" s="7"/>
    </row>
    <row r="24" spans="1:3" x14ac:dyDescent="0.35">
      <c r="A24" s="23" t="s">
        <v>181</v>
      </c>
      <c r="B24" s="7" t="s">
        <v>182</v>
      </c>
      <c r="C24" s="7" t="s">
        <v>183</v>
      </c>
    </row>
    <row r="25" spans="1:3" x14ac:dyDescent="0.35">
      <c r="A25" s="23" t="s">
        <v>184</v>
      </c>
      <c r="B25" s="7" t="s">
        <v>185</v>
      </c>
      <c r="C25" s="7" t="s">
        <v>186</v>
      </c>
    </row>
    <row r="26" spans="1:3" x14ac:dyDescent="0.35">
      <c r="A26" s="1" t="s">
        <v>213</v>
      </c>
      <c r="B26" s="7" t="s">
        <v>187</v>
      </c>
      <c r="C26" s="7" t="s">
        <v>188</v>
      </c>
    </row>
    <row r="27" spans="1:3" x14ac:dyDescent="0.35">
      <c r="A27" s="1" t="s">
        <v>189</v>
      </c>
      <c r="B27" s="7" t="s">
        <v>190</v>
      </c>
      <c r="C27" s="7" t="s">
        <v>191</v>
      </c>
    </row>
    <row r="28" spans="1:3" x14ac:dyDescent="0.35">
      <c r="A28" s="1" t="s">
        <v>192</v>
      </c>
      <c r="B28" s="7" t="s">
        <v>178</v>
      </c>
      <c r="C28" s="7" t="s">
        <v>179</v>
      </c>
    </row>
    <row r="29" spans="1:3" x14ac:dyDescent="0.35">
      <c r="A29" s="24" t="s">
        <v>193</v>
      </c>
      <c r="B29" s="7"/>
      <c r="C29" s="7"/>
    </row>
    <row r="30" spans="1:3" x14ac:dyDescent="0.35">
      <c r="A30" s="23" t="s">
        <v>194</v>
      </c>
      <c r="B30" s="7" t="s">
        <v>195</v>
      </c>
      <c r="C30" s="7" t="s">
        <v>196</v>
      </c>
    </row>
    <row r="31" spans="1:3" x14ac:dyDescent="0.35">
      <c r="A31" s="23" t="s">
        <v>197</v>
      </c>
      <c r="B31" s="7" t="s">
        <v>198</v>
      </c>
      <c r="C31" s="7" t="s">
        <v>199</v>
      </c>
    </row>
    <row r="32" spans="1:3" x14ac:dyDescent="0.35">
      <c r="A32" s="19" t="s">
        <v>189</v>
      </c>
      <c r="B32" s="20" t="s">
        <v>190</v>
      </c>
      <c r="C32" s="20" t="s">
        <v>191</v>
      </c>
    </row>
    <row r="33" spans="1:3" x14ac:dyDescent="0.35">
      <c r="A33" t="s">
        <v>193</v>
      </c>
      <c r="B33" s="7"/>
      <c r="C33" s="7"/>
    </row>
    <row r="34" spans="1:3" x14ac:dyDescent="0.35">
      <c r="A34" s="23" t="s">
        <v>194</v>
      </c>
      <c r="B34" s="7" t="s">
        <v>200</v>
      </c>
      <c r="C34" s="7" t="s">
        <v>201</v>
      </c>
    </row>
    <row r="35" spans="1:3" x14ac:dyDescent="0.35">
      <c r="A35" s="23" t="s">
        <v>197</v>
      </c>
      <c r="B35" s="7" t="s">
        <v>198</v>
      </c>
      <c r="C35" s="7" t="s">
        <v>199</v>
      </c>
    </row>
    <row r="36" spans="1:3" x14ac:dyDescent="0.35">
      <c r="A36" s="19" t="s">
        <v>388</v>
      </c>
      <c r="B36" s="20"/>
      <c r="C36" s="20"/>
    </row>
    <row r="37" spans="1:3" x14ac:dyDescent="0.35">
      <c r="A37" s="23" t="s">
        <v>202</v>
      </c>
      <c r="B37" s="7" t="s">
        <v>203</v>
      </c>
      <c r="C37" s="7" t="s">
        <v>204</v>
      </c>
    </row>
    <row r="38" spans="1:3" x14ac:dyDescent="0.35">
      <c r="A38" s="23" t="s">
        <v>205</v>
      </c>
      <c r="B38" s="7" t="s">
        <v>206</v>
      </c>
      <c r="C38" s="7" t="s">
        <v>207</v>
      </c>
    </row>
    <row r="39" spans="1:3" x14ac:dyDescent="0.35">
      <c r="A39" t="s">
        <v>208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B8DF-FA05-4C5E-BF78-5FF3444441F1}">
  <dimension ref="A1:C55"/>
  <sheetViews>
    <sheetView tabSelected="1" workbookViewId="0">
      <selection sqref="A1:T51"/>
    </sheetView>
  </sheetViews>
  <sheetFormatPr defaultRowHeight="14.5" x14ac:dyDescent="0.35"/>
  <cols>
    <col min="1" max="1" width="47.7265625" customWidth="1"/>
    <col min="2" max="2" width="21.7265625" customWidth="1"/>
    <col min="3" max="3" width="21.36328125" customWidth="1"/>
  </cols>
  <sheetData>
    <row r="1" spans="1:3" ht="43.5" customHeight="1" x14ac:dyDescent="0.55000000000000004">
      <c r="A1" s="176" t="s">
        <v>325</v>
      </c>
      <c r="B1" s="177"/>
      <c r="C1" s="177"/>
    </row>
    <row r="2" spans="1:3" x14ac:dyDescent="0.35">
      <c r="B2" t="s">
        <v>131</v>
      </c>
      <c r="C2" t="s">
        <v>131</v>
      </c>
    </row>
    <row r="3" spans="1:3" x14ac:dyDescent="0.35">
      <c r="B3" s="1" t="s">
        <v>122</v>
      </c>
      <c r="C3" s="1" t="s">
        <v>123</v>
      </c>
    </row>
    <row r="4" spans="1:3" x14ac:dyDescent="0.35">
      <c r="A4" s="1" t="s">
        <v>214</v>
      </c>
    </row>
    <row r="5" spans="1:3" x14ac:dyDescent="0.35">
      <c r="A5" s="25" t="s">
        <v>209</v>
      </c>
      <c r="B5" s="26" t="s">
        <v>164</v>
      </c>
      <c r="C5" s="26" t="s">
        <v>165</v>
      </c>
    </row>
    <row r="6" spans="1:3" x14ac:dyDescent="0.35">
      <c r="A6" t="s">
        <v>215</v>
      </c>
      <c r="B6" s="7"/>
      <c r="C6" s="7"/>
    </row>
    <row r="7" spans="1:3" x14ac:dyDescent="0.35">
      <c r="A7" s="23" t="s">
        <v>216</v>
      </c>
      <c r="B7" s="7" t="s">
        <v>156</v>
      </c>
      <c r="C7" s="7" t="s">
        <v>157</v>
      </c>
    </row>
    <row r="8" spans="1:3" x14ac:dyDescent="0.35">
      <c r="A8" s="23" t="s">
        <v>217</v>
      </c>
      <c r="B8" s="7" t="s">
        <v>153</v>
      </c>
      <c r="C8" s="7" t="s">
        <v>154</v>
      </c>
    </row>
    <row r="9" spans="1:3" x14ac:dyDescent="0.35">
      <c r="A9" s="23" t="s">
        <v>218</v>
      </c>
      <c r="B9" s="7" t="s">
        <v>219</v>
      </c>
      <c r="C9" s="7" t="s">
        <v>220</v>
      </c>
    </row>
    <row r="10" spans="1:3" x14ac:dyDescent="0.35">
      <c r="A10" s="23" t="s">
        <v>221</v>
      </c>
      <c r="B10" s="7" t="s">
        <v>222</v>
      </c>
      <c r="C10" s="7" t="s">
        <v>223</v>
      </c>
    </row>
    <row r="11" spans="1:3" x14ac:dyDescent="0.35">
      <c r="A11" s="23" t="s">
        <v>224</v>
      </c>
      <c r="B11" s="7" t="s">
        <v>225</v>
      </c>
      <c r="C11" s="7" t="s">
        <v>226</v>
      </c>
    </row>
    <row r="12" spans="1:3" x14ac:dyDescent="0.35">
      <c r="A12" s="23" t="s">
        <v>227</v>
      </c>
      <c r="B12" s="7" t="s">
        <v>228</v>
      </c>
      <c r="C12" s="7" t="s">
        <v>229</v>
      </c>
    </row>
    <row r="13" spans="1:3" x14ac:dyDescent="0.35">
      <c r="A13" s="23" t="s">
        <v>230</v>
      </c>
      <c r="B13" s="7" t="s">
        <v>231</v>
      </c>
      <c r="C13" s="7" t="s">
        <v>232</v>
      </c>
    </row>
    <row r="14" spans="1:3" x14ac:dyDescent="0.35">
      <c r="B14" s="18" t="s">
        <v>233</v>
      </c>
      <c r="C14" s="18" t="s">
        <v>234</v>
      </c>
    </row>
    <row r="15" spans="1:3" x14ac:dyDescent="0.35">
      <c r="A15" s="27" t="s">
        <v>235</v>
      </c>
      <c r="B15" s="21" t="s">
        <v>236</v>
      </c>
      <c r="C15" s="21" t="s">
        <v>237</v>
      </c>
    </row>
    <row r="16" spans="1:3" x14ac:dyDescent="0.35">
      <c r="A16" t="s">
        <v>215</v>
      </c>
      <c r="B16" s="7"/>
      <c r="C16" s="7"/>
    </row>
    <row r="17" spans="1:3" x14ac:dyDescent="0.35">
      <c r="A17" s="23" t="s">
        <v>238</v>
      </c>
      <c r="B17" s="7" t="s">
        <v>239</v>
      </c>
      <c r="C17" s="7" t="s">
        <v>240</v>
      </c>
    </row>
    <row r="18" spans="1:3" x14ac:dyDescent="0.35">
      <c r="A18" s="23" t="s">
        <v>241</v>
      </c>
      <c r="B18" s="7" t="s">
        <v>242</v>
      </c>
      <c r="C18" s="7" t="s">
        <v>243</v>
      </c>
    </row>
    <row r="19" spans="1:3" x14ac:dyDescent="0.35">
      <c r="A19" s="23" t="s">
        <v>244</v>
      </c>
      <c r="B19" s="7" t="s">
        <v>245</v>
      </c>
      <c r="C19" s="7" t="s">
        <v>246</v>
      </c>
    </row>
    <row r="20" spans="1:3" x14ac:dyDescent="0.35">
      <c r="A20" s="23" t="s">
        <v>247</v>
      </c>
      <c r="B20" s="7" t="s">
        <v>248</v>
      </c>
      <c r="C20" s="7" t="s">
        <v>249</v>
      </c>
    </row>
    <row r="21" spans="1:3" x14ac:dyDescent="0.35">
      <c r="A21" s="23" t="s">
        <v>250</v>
      </c>
      <c r="B21" s="7" t="s">
        <v>251</v>
      </c>
      <c r="C21" s="7" t="s">
        <v>252</v>
      </c>
    </row>
    <row r="22" spans="1:3" x14ac:dyDescent="0.35">
      <c r="A22" s="23" t="s">
        <v>253</v>
      </c>
      <c r="B22" s="7" t="s">
        <v>254</v>
      </c>
      <c r="C22" s="7" t="s">
        <v>254</v>
      </c>
    </row>
    <row r="23" spans="1:3" x14ac:dyDescent="0.35">
      <c r="A23" s="23" t="s">
        <v>255</v>
      </c>
      <c r="B23" s="7" t="s">
        <v>256</v>
      </c>
      <c r="C23" s="7" t="s">
        <v>257</v>
      </c>
    </row>
    <row r="24" spans="1:3" x14ac:dyDescent="0.35">
      <c r="A24" s="23" t="s">
        <v>258</v>
      </c>
      <c r="B24" s="7" t="s">
        <v>147</v>
      </c>
      <c r="C24" s="7" t="s">
        <v>148</v>
      </c>
    </row>
    <row r="25" spans="1:3" x14ac:dyDescent="0.35">
      <c r="A25" s="23" t="s">
        <v>259</v>
      </c>
      <c r="B25" s="7" t="s">
        <v>260</v>
      </c>
      <c r="C25" s="7" t="s">
        <v>261</v>
      </c>
    </row>
    <row r="26" spans="1:3" x14ac:dyDescent="0.35">
      <c r="A26" s="23" t="s">
        <v>262</v>
      </c>
      <c r="B26" s="7" t="s">
        <v>263</v>
      </c>
      <c r="C26" s="7" t="s">
        <v>264</v>
      </c>
    </row>
    <row r="27" spans="1:3" x14ac:dyDescent="0.35">
      <c r="A27" s="23" t="s">
        <v>265</v>
      </c>
      <c r="B27" s="7" t="s">
        <v>266</v>
      </c>
      <c r="C27" s="7" t="s">
        <v>267</v>
      </c>
    </row>
    <row r="28" spans="1:3" x14ac:dyDescent="0.35">
      <c r="A28" s="23" t="s">
        <v>268</v>
      </c>
      <c r="B28" s="7" t="s">
        <v>269</v>
      </c>
      <c r="C28" s="7" t="s">
        <v>270</v>
      </c>
    </row>
    <row r="29" spans="1:3" x14ac:dyDescent="0.35">
      <c r="A29" s="23" t="s">
        <v>271</v>
      </c>
      <c r="B29" s="7" t="s">
        <v>272</v>
      </c>
      <c r="C29" s="7" t="s">
        <v>273</v>
      </c>
    </row>
    <row r="30" spans="1:3" x14ac:dyDescent="0.35">
      <c r="B30" s="18" t="s">
        <v>274</v>
      </c>
      <c r="C30" s="18" t="s">
        <v>275</v>
      </c>
    </row>
    <row r="31" spans="1:3" x14ac:dyDescent="0.35">
      <c r="A31" s="19" t="s">
        <v>276</v>
      </c>
      <c r="B31" s="18" t="s">
        <v>277</v>
      </c>
      <c r="C31" s="18" t="s">
        <v>278</v>
      </c>
    </row>
    <row r="32" spans="1:3" x14ac:dyDescent="0.35">
      <c r="A32" t="s">
        <v>279</v>
      </c>
      <c r="B32" s="7" t="s">
        <v>280</v>
      </c>
      <c r="C32" s="7" t="s">
        <v>281</v>
      </c>
    </row>
    <row r="33" spans="1:3" x14ac:dyDescent="0.35">
      <c r="A33" s="1" t="s">
        <v>282</v>
      </c>
      <c r="B33" s="21" t="s">
        <v>283</v>
      </c>
      <c r="C33" s="21" t="s">
        <v>284</v>
      </c>
    </row>
    <row r="34" spans="1:3" x14ac:dyDescent="0.35">
      <c r="A34" s="19" t="s">
        <v>285</v>
      </c>
      <c r="B34" s="7"/>
      <c r="C34" s="7"/>
    </row>
    <row r="35" spans="1:3" x14ac:dyDescent="0.35">
      <c r="A35" s="23" t="s">
        <v>286</v>
      </c>
      <c r="B35" s="7" t="s">
        <v>287</v>
      </c>
      <c r="C35" s="7" t="s">
        <v>288</v>
      </c>
    </row>
    <row r="36" spans="1:3" x14ac:dyDescent="0.35">
      <c r="A36" s="23" t="s">
        <v>289</v>
      </c>
      <c r="B36" s="7" t="s">
        <v>290</v>
      </c>
      <c r="C36" s="7" t="s">
        <v>291</v>
      </c>
    </row>
    <row r="37" spans="1:3" x14ac:dyDescent="0.35">
      <c r="A37" s="23" t="s">
        <v>292</v>
      </c>
      <c r="B37" s="7" t="s">
        <v>293</v>
      </c>
      <c r="C37" s="7" t="s">
        <v>294</v>
      </c>
    </row>
    <row r="38" spans="1:3" x14ac:dyDescent="0.35">
      <c r="A38" s="23" t="s">
        <v>295</v>
      </c>
      <c r="B38" s="7" t="s">
        <v>296</v>
      </c>
      <c r="C38" s="7" t="s">
        <v>297</v>
      </c>
    </row>
    <row r="39" spans="1:3" x14ac:dyDescent="0.35">
      <c r="A39" s="23" t="s">
        <v>298</v>
      </c>
      <c r="B39" s="7" t="s">
        <v>299</v>
      </c>
      <c r="C39" s="7" t="s">
        <v>300</v>
      </c>
    </row>
    <row r="40" spans="1:3" x14ac:dyDescent="0.35">
      <c r="A40" s="23" t="s">
        <v>301</v>
      </c>
      <c r="B40" s="7" t="s">
        <v>302</v>
      </c>
      <c r="C40" s="7" t="s">
        <v>303</v>
      </c>
    </row>
    <row r="41" spans="1:3" x14ac:dyDescent="0.35">
      <c r="A41" s="1" t="s">
        <v>304</v>
      </c>
      <c r="B41" s="21" t="s">
        <v>305</v>
      </c>
      <c r="C41" s="21" t="s">
        <v>306</v>
      </c>
    </row>
    <row r="42" spans="1:3" x14ac:dyDescent="0.35">
      <c r="A42" s="19" t="s">
        <v>307</v>
      </c>
      <c r="B42" s="7"/>
      <c r="C42" s="7"/>
    </row>
    <row r="43" spans="1:3" x14ac:dyDescent="0.35">
      <c r="A43" s="23" t="s">
        <v>308</v>
      </c>
      <c r="B43" s="7" t="s">
        <v>309</v>
      </c>
      <c r="C43" s="7" t="s">
        <v>310</v>
      </c>
    </row>
    <row r="44" spans="1:3" x14ac:dyDescent="0.35">
      <c r="A44" s="23" t="s">
        <v>311</v>
      </c>
      <c r="B44" s="7" t="s">
        <v>312</v>
      </c>
      <c r="C44" s="7" t="s">
        <v>313</v>
      </c>
    </row>
    <row r="45" spans="1:3" x14ac:dyDescent="0.35">
      <c r="A45" s="23" t="s">
        <v>314</v>
      </c>
      <c r="B45" s="7" t="s">
        <v>29</v>
      </c>
      <c r="C45" s="7" t="s">
        <v>315</v>
      </c>
    </row>
    <row r="46" spans="1:3" x14ac:dyDescent="0.35">
      <c r="A46" s="23" t="s">
        <v>316</v>
      </c>
      <c r="B46" s="7" t="s">
        <v>317</v>
      </c>
      <c r="C46" s="7" t="s">
        <v>318</v>
      </c>
    </row>
    <row r="47" spans="1:3" x14ac:dyDescent="0.35">
      <c r="A47" s="23" t="s">
        <v>319</v>
      </c>
      <c r="B47" s="7" t="s">
        <v>320</v>
      </c>
      <c r="C47" s="7" t="s">
        <v>321</v>
      </c>
    </row>
    <row r="48" spans="1:3" x14ac:dyDescent="0.35">
      <c r="A48" s="23" t="s">
        <v>322</v>
      </c>
      <c r="B48" s="7" t="s">
        <v>323</v>
      </c>
      <c r="C48" s="7" t="s">
        <v>324</v>
      </c>
    </row>
    <row r="49" spans="1:3" x14ac:dyDescent="0.35">
      <c r="A49" s="27" t="s">
        <v>347</v>
      </c>
      <c r="B49" s="21" t="s">
        <v>348</v>
      </c>
      <c r="C49" s="21" t="s">
        <v>349</v>
      </c>
    </row>
    <row r="50" spans="1:3" x14ac:dyDescent="0.35">
      <c r="A50" t="s">
        <v>350</v>
      </c>
      <c r="B50" s="7" t="s">
        <v>351</v>
      </c>
      <c r="C50" s="7" t="s">
        <v>352</v>
      </c>
    </row>
    <row r="51" spans="1:3" x14ac:dyDescent="0.35">
      <c r="A51" t="s">
        <v>353</v>
      </c>
      <c r="B51" s="7" t="s">
        <v>53</v>
      </c>
      <c r="C51" s="7" t="s">
        <v>354</v>
      </c>
    </row>
    <row r="52" spans="1:3" x14ac:dyDescent="0.35">
      <c r="A52" t="s">
        <v>355</v>
      </c>
      <c r="B52" s="7" t="s">
        <v>52</v>
      </c>
      <c r="C52" s="7" t="s">
        <v>53</v>
      </c>
    </row>
    <row r="53" spans="1:3" x14ac:dyDescent="0.35">
      <c r="A53" t="s">
        <v>356</v>
      </c>
      <c r="B53" s="7"/>
      <c r="C53" s="7"/>
    </row>
    <row r="54" spans="1:3" x14ac:dyDescent="0.35">
      <c r="A54" t="s">
        <v>357</v>
      </c>
      <c r="B54" s="7" t="s">
        <v>52</v>
      </c>
      <c r="C54" s="7" t="s">
        <v>53</v>
      </c>
    </row>
    <row r="55" spans="1:3" x14ac:dyDescent="0.35">
      <c r="A55" t="s">
        <v>358</v>
      </c>
      <c r="B55" s="7" t="s">
        <v>52</v>
      </c>
      <c r="C55" s="7" t="s">
        <v>53</v>
      </c>
    </row>
  </sheetData>
  <mergeCells count="1">
    <mergeCell ref="A1:C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2E45-D030-4388-BEA5-1D775CE8FD8E}">
  <sheetPr>
    <pageSetUpPr fitToPage="1"/>
  </sheetPr>
  <dimension ref="A1:N23"/>
  <sheetViews>
    <sheetView showGridLines="0" tabSelected="1" zoomScale="86" zoomScaleNormal="58" workbookViewId="0">
      <selection sqref="A1:T51"/>
    </sheetView>
  </sheetViews>
  <sheetFormatPr defaultRowHeight="14.5" x14ac:dyDescent="0.35"/>
  <cols>
    <col min="1" max="1" width="7" customWidth="1"/>
    <col min="2" max="2" width="30" customWidth="1"/>
    <col min="3" max="3" width="14" bestFit="1" customWidth="1"/>
    <col min="4" max="5" width="14" customWidth="1"/>
    <col min="6" max="6" width="9" customWidth="1"/>
    <col min="7" max="7" width="24.6328125" customWidth="1"/>
    <col min="8" max="10" width="14" customWidth="1"/>
    <col min="11" max="11" width="9" customWidth="1"/>
    <col min="12" max="12" width="0.36328125" customWidth="1"/>
    <col min="13" max="14" width="18" hidden="1" customWidth="1"/>
  </cols>
  <sheetData>
    <row r="1" spans="1:14" ht="78" customHeight="1" x14ac:dyDescent="0.6">
      <c r="A1" s="180"/>
      <c r="B1" s="179"/>
      <c r="C1" s="188" t="s">
        <v>446</v>
      </c>
      <c r="D1" s="189"/>
      <c r="E1" s="189"/>
      <c r="F1" s="189"/>
      <c r="G1" s="180"/>
      <c r="H1" s="179"/>
      <c r="I1" s="185" t="s">
        <v>391</v>
      </c>
      <c r="J1" s="183"/>
      <c r="K1" s="183"/>
      <c r="L1" s="183"/>
      <c r="M1" s="183"/>
      <c r="N1" s="183"/>
    </row>
    <row r="2" spans="1:14" ht="32" customHeight="1" x14ac:dyDescent="0.35">
      <c r="A2" s="42"/>
      <c r="B2" s="182" t="s">
        <v>445</v>
      </c>
      <c r="C2" s="183"/>
      <c r="D2" s="183"/>
      <c r="E2" s="183"/>
      <c r="F2" s="183"/>
      <c r="G2" s="182" t="s">
        <v>444</v>
      </c>
      <c r="H2" s="183"/>
      <c r="I2" s="183"/>
      <c r="J2" s="183"/>
      <c r="K2" s="183"/>
      <c r="L2" s="42"/>
      <c r="M2" s="42"/>
      <c r="N2" s="42"/>
    </row>
    <row r="3" spans="1:14" ht="30" customHeight="1" x14ac:dyDescent="0.35">
      <c r="A3" s="42"/>
      <c r="B3" s="60" t="s">
        <v>326</v>
      </c>
      <c r="C3" s="60" t="s">
        <v>327</v>
      </c>
      <c r="D3" s="60" t="s">
        <v>328</v>
      </c>
      <c r="E3" s="60" t="s">
        <v>329</v>
      </c>
      <c r="F3" s="60" t="s">
        <v>389</v>
      </c>
      <c r="G3" s="60" t="s">
        <v>326</v>
      </c>
      <c r="H3" s="60" t="s">
        <v>327</v>
      </c>
      <c r="I3" s="60" t="s">
        <v>328</v>
      </c>
      <c r="J3" s="61" t="s">
        <v>329</v>
      </c>
      <c r="K3" s="60" t="s">
        <v>389</v>
      </c>
      <c r="L3" s="42"/>
      <c r="M3" s="42"/>
      <c r="N3" s="42"/>
    </row>
    <row r="4" spans="1:14" ht="24" customHeight="1" x14ac:dyDescent="0.35">
      <c r="A4" s="42"/>
      <c r="B4" s="46" t="s">
        <v>330</v>
      </c>
      <c r="C4" s="55">
        <v>24143.06</v>
      </c>
      <c r="D4" s="55">
        <v>30976.27</v>
      </c>
      <c r="E4" s="51">
        <f t="shared" ref="E4:E10" si="0">(D4-C4)/C4</f>
        <v>0.28302998874210639</v>
      </c>
      <c r="F4" s="43" t="str">
        <f t="shared" ref="F4:F10" si="1">IF(E4&gt;0,"↑",IF(E4&lt;0,"↓","→"))</f>
        <v>↑</v>
      </c>
      <c r="G4" s="46" t="s">
        <v>330</v>
      </c>
      <c r="H4" s="55">
        <f>C4</f>
        <v>24143.06</v>
      </c>
      <c r="I4" s="55">
        <f>D4</f>
        <v>30976.27</v>
      </c>
      <c r="J4" s="51">
        <f>(I4-H4)/H4</f>
        <v>0.28302998874210639</v>
      </c>
      <c r="K4" s="43" t="str">
        <f>IF(J4&gt;0,"↑",IF(J4&lt;0,"↓","→"))</f>
        <v>↑</v>
      </c>
      <c r="L4" s="42"/>
      <c r="M4" s="42"/>
      <c r="N4" s="42"/>
    </row>
    <row r="5" spans="1:14" ht="24" customHeight="1" x14ac:dyDescent="0.35">
      <c r="A5" s="42"/>
      <c r="B5" s="50" t="s">
        <v>331</v>
      </c>
      <c r="C5" s="52">
        <v>196.21</v>
      </c>
      <c r="D5" s="52">
        <v>117.49</v>
      </c>
      <c r="E5" s="59">
        <f t="shared" si="0"/>
        <v>-0.40120279292594674</v>
      </c>
      <c r="F5" s="58" t="str">
        <f t="shared" si="1"/>
        <v>↓</v>
      </c>
      <c r="G5" s="50" t="s">
        <v>333</v>
      </c>
      <c r="H5" s="52">
        <f>C8</f>
        <v>1483.45</v>
      </c>
      <c r="I5" s="52">
        <f>D8</f>
        <v>2064.12</v>
      </c>
      <c r="J5" s="48">
        <f>(I5-H5)/H5</f>
        <v>0.39143213455121495</v>
      </c>
      <c r="K5" s="47" t="str">
        <f>IF(J5&gt;0,"↑",IF(J5&lt;0,"↓","→"))</f>
        <v>↑</v>
      </c>
      <c r="L5" s="42"/>
      <c r="M5" s="42"/>
      <c r="N5" s="42"/>
    </row>
    <row r="6" spans="1:14" ht="24" customHeight="1" x14ac:dyDescent="0.35">
      <c r="A6" s="42"/>
      <c r="B6" s="46" t="s">
        <v>332</v>
      </c>
      <c r="C6" s="55">
        <v>24339.27</v>
      </c>
      <c r="D6" s="55">
        <v>31093.759999999998</v>
      </c>
      <c r="E6" s="51">
        <f t="shared" si="0"/>
        <v>0.27751407499074532</v>
      </c>
      <c r="F6" s="43" t="str">
        <f t="shared" si="1"/>
        <v>↑</v>
      </c>
      <c r="G6" s="46" t="s">
        <v>334</v>
      </c>
      <c r="H6" s="55">
        <f>C10</f>
        <v>1099.43</v>
      </c>
      <c r="I6" s="55">
        <f>D10</f>
        <v>1492.4</v>
      </c>
      <c r="J6" s="51">
        <f>(I6-H6)/H6</f>
        <v>0.35743066861919359</v>
      </c>
      <c r="K6" s="43" t="str">
        <f>IF(J6&gt;0,"↑",IF(J6&lt;0,"↓","→"))</f>
        <v>↑</v>
      </c>
      <c r="L6" s="42"/>
      <c r="M6" s="42"/>
      <c r="N6" s="42"/>
    </row>
    <row r="7" spans="1:14" ht="24" customHeight="1" x14ac:dyDescent="0.35">
      <c r="A7" s="42"/>
      <c r="B7" s="50" t="s">
        <v>161</v>
      </c>
      <c r="C7" s="52">
        <v>22855.82</v>
      </c>
      <c r="D7" s="52">
        <v>29029.64</v>
      </c>
      <c r="E7" s="48">
        <f t="shared" si="0"/>
        <v>0.2701202582099439</v>
      </c>
      <c r="F7" s="47" t="str">
        <f t="shared" si="1"/>
        <v>↑</v>
      </c>
      <c r="G7" s="50" t="s">
        <v>335</v>
      </c>
      <c r="H7" s="104">
        <f>H5/H4</f>
        <v>6.1444158279853507E-2</v>
      </c>
      <c r="I7" s="104">
        <f>I5/I4</f>
        <v>6.6635524548307457E-2</v>
      </c>
      <c r="J7" s="48">
        <f>(I7-H7)/H7</f>
        <v>8.4489175436489136E-2</v>
      </c>
      <c r="K7" s="47" t="str">
        <f>IF(J7&gt;0,"↑",IF(J7&lt;0,"↓","→"))</f>
        <v>↑</v>
      </c>
      <c r="L7" s="42"/>
      <c r="M7" s="42"/>
      <c r="N7" s="42"/>
    </row>
    <row r="8" spans="1:14" ht="24" customHeight="1" x14ac:dyDescent="0.35">
      <c r="A8" s="42"/>
      <c r="B8" s="46" t="s">
        <v>333</v>
      </c>
      <c r="C8" s="55">
        <v>1483.45</v>
      </c>
      <c r="D8" s="55">
        <v>2064.12</v>
      </c>
      <c r="E8" s="51">
        <f t="shared" si="0"/>
        <v>0.39143213455121495</v>
      </c>
      <c r="F8" s="43" t="str">
        <f t="shared" si="1"/>
        <v>↑</v>
      </c>
      <c r="G8" s="46" t="s">
        <v>336</v>
      </c>
      <c r="H8" s="105">
        <f>H6/H4</f>
        <v>4.5538138081916708E-2</v>
      </c>
      <c r="I8" s="105">
        <f>I6/I4</f>
        <v>4.8178815590127544E-2</v>
      </c>
      <c r="J8" s="51">
        <f>(I8-H8)/H8</f>
        <v>5.7988262573683357E-2</v>
      </c>
      <c r="K8" s="43" t="str">
        <f>IF(J8&gt;0,"↑",IF(J8&lt;0,"↓","→"))</f>
        <v>↑</v>
      </c>
      <c r="L8" s="42"/>
      <c r="M8" s="42"/>
      <c r="N8" s="42"/>
    </row>
    <row r="9" spans="1:14" ht="24" customHeight="1" x14ac:dyDescent="0.35">
      <c r="A9" s="42"/>
      <c r="B9" s="50" t="s">
        <v>210</v>
      </c>
      <c r="C9" s="52">
        <v>384.02</v>
      </c>
      <c r="D9" s="52">
        <v>571.72</v>
      </c>
      <c r="E9" s="59">
        <f t="shared" si="0"/>
        <v>0.48877662621738466</v>
      </c>
      <c r="F9" s="58" t="str">
        <f t="shared" si="1"/>
        <v>↑</v>
      </c>
      <c r="G9" s="50"/>
      <c r="H9" s="49"/>
      <c r="I9" s="49"/>
      <c r="J9" s="57"/>
      <c r="K9" s="56"/>
      <c r="L9" s="42"/>
      <c r="M9" s="42"/>
      <c r="N9" s="42"/>
    </row>
    <row r="10" spans="1:14" ht="24" customHeight="1" x14ac:dyDescent="0.35">
      <c r="A10" s="42"/>
      <c r="B10" s="46" t="s">
        <v>334</v>
      </c>
      <c r="C10" s="55">
        <v>1099.43</v>
      </c>
      <c r="D10" s="55">
        <v>1492.4</v>
      </c>
      <c r="E10" s="51">
        <f t="shared" si="0"/>
        <v>0.35743066861919359</v>
      </c>
      <c r="F10" s="43" t="str">
        <f t="shared" si="1"/>
        <v>↑</v>
      </c>
      <c r="G10" s="46"/>
      <c r="H10" s="45"/>
      <c r="I10" s="45"/>
      <c r="J10" s="54"/>
      <c r="K10" s="53"/>
      <c r="L10" s="42"/>
      <c r="M10" s="42"/>
      <c r="N10" s="42"/>
    </row>
    <row r="11" spans="1:14" ht="24" customHeight="1" x14ac:dyDescent="0.3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1:14" ht="32" customHeight="1" x14ac:dyDescent="0.35">
      <c r="A12" s="42"/>
      <c r="B12" s="182" t="s">
        <v>443</v>
      </c>
      <c r="C12" s="183"/>
      <c r="D12" s="183"/>
      <c r="E12" s="183"/>
      <c r="F12" s="183"/>
      <c r="G12" s="182" t="s">
        <v>442</v>
      </c>
      <c r="H12" s="183"/>
      <c r="I12" s="183"/>
      <c r="J12" s="183"/>
      <c r="K12" s="183"/>
      <c r="L12" s="42"/>
      <c r="M12" s="42"/>
      <c r="N12" s="42"/>
    </row>
    <row r="13" spans="1:14" ht="30" customHeight="1" x14ac:dyDescent="0.35">
      <c r="A13" s="42"/>
      <c r="B13" s="60" t="s">
        <v>337</v>
      </c>
      <c r="C13" s="60" t="s">
        <v>327</v>
      </c>
      <c r="D13" s="60" t="s">
        <v>328</v>
      </c>
      <c r="E13" s="60" t="s">
        <v>329</v>
      </c>
      <c r="F13" s="60" t="s">
        <v>389</v>
      </c>
      <c r="G13" s="42"/>
      <c r="H13" s="42"/>
      <c r="I13" s="42"/>
      <c r="J13" s="42"/>
      <c r="K13" s="42"/>
      <c r="L13" s="42"/>
      <c r="M13" s="42"/>
      <c r="N13" s="42"/>
    </row>
    <row r="14" spans="1:14" ht="24" customHeight="1" x14ac:dyDescent="0.35">
      <c r="A14" s="42"/>
      <c r="B14" s="50" t="s">
        <v>338</v>
      </c>
      <c r="C14" s="49" t="str">
        <f>'Profit and loss account '!C8</f>
        <v>20,855.56</v>
      </c>
      <c r="D14" s="52" t="str">
        <f>'Profit and loss account '!B8</f>
        <v>26,891.77</v>
      </c>
      <c r="E14" s="48">
        <f t="shared" ref="E14:E19" si="2">(D14-C14)/C14</f>
        <v>0.28942929367516379</v>
      </c>
      <c r="F14" s="47" t="str">
        <f t="shared" ref="F14:F19" si="3">IF(E14&gt;0,"↑",IF(E14&lt;0,"↓","→"))</f>
        <v>↑</v>
      </c>
      <c r="G14" s="178" t="s">
        <v>441</v>
      </c>
      <c r="H14" s="179"/>
      <c r="I14" s="179"/>
      <c r="J14" s="179"/>
      <c r="K14" s="179"/>
      <c r="L14" s="42"/>
      <c r="M14" s="42"/>
      <c r="N14" s="42"/>
    </row>
    <row r="15" spans="1:14" ht="24" customHeight="1" x14ac:dyDescent="0.35">
      <c r="A15" s="42"/>
      <c r="B15" s="46" t="s">
        <v>339</v>
      </c>
      <c r="C15" s="45" t="str">
        <f>'Profit and loss account '!C10</f>
        <v>536.57</v>
      </c>
      <c r="D15" s="45" t="str">
        <f>'Profit and loss account '!B10</f>
        <v>616.21</v>
      </c>
      <c r="E15" s="51">
        <f t="shared" si="2"/>
        <v>0.14842425033080489</v>
      </c>
      <c r="F15" s="43" t="str">
        <f t="shared" si="3"/>
        <v>↑</v>
      </c>
      <c r="G15" s="178" t="s">
        <v>440</v>
      </c>
      <c r="H15" s="179"/>
      <c r="I15" s="179"/>
      <c r="J15" s="179"/>
      <c r="K15" s="179"/>
      <c r="L15" s="42"/>
      <c r="M15" s="42"/>
      <c r="N15" s="42"/>
    </row>
    <row r="16" spans="1:14" ht="24" customHeight="1" x14ac:dyDescent="0.35">
      <c r="A16" s="42"/>
      <c r="B16" s="50" t="s">
        <v>340</v>
      </c>
      <c r="C16" s="49" t="str">
        <f>'Profit and loss account '!C11</f>
        <v>41.65</v>
      </c>
      <c r="D16" s="49" t="str">
        <f>'Profit and loss account '!B11</f>
        <v>53.79</v>
      </c>
      <c r="E16" s="48">
        <f t="shared" si="2"/>
        <v>0.29147659063625453</v>
      </c>
      <c r="F16" s="47" t="str">
        <f t="shared" si="3"/>
        <v>↑</v>
      </c>
      <c r="G16" s="178" t="s">
        <v>439</v>
      </c>
      <c r="H16" s="179"/>
      <c r="I16" s="179"/>
      <c r="J16" s="179"/>
      <c r="K16" s="179"/>
      <c r="L16" s="42"/>
      <c r="M16" s="42"/>
      <c r="N16" s="42"/>
    </row>
    <row r="17" spans="1:14" ht="24" customHeight="1" x14ac:dyDescent="0.35">
      <c r="A17" s="42"/>
      <c r="B17" s="46" t="s">
        <v>341</v>
      </c>
      <c r="C17" s="45" t="str">
        <f>'Profit and loss account '!C12</f>
        <v>414.16</v>
      </c>
      <c r="D17" s="45" t="str">
        <f>'Profit and loss account '!B12</f>
        <v>498.08</v>
      </c>
      <c r="E17" s="51">
        <f t="shared" si="2"/>
        <v>0.20262700405640321</v>
      </c>
      <c r="F17" s="43" t="str">
        <f t="shared" si="3"/>
        <v>↑</v>
      </c>
      <c r="G17" s="178" t="s">
        <v>438</v>
      </c>
      <c r="H17" s="179"/>
      <c r="I17" s="179"/>
      <c r="J17" s="179"/>
      <c r="K17" s="179"/>
      <c r="L17" s="42"/>
      <c r="M17" s="42"/>
      <c r="N17" s="42"/>
    </row>
    <row r="18" spans="1:14" ht="24" customHeight="1" x14ac:dyDescent="0.35">
      <c r="A18" s="42"/>
      <c r="B18" s="50" t="s">
        <v>342</v>
      </c>
      <c r="C18" s="49" t="str">
        <f>'Profit and loss account '!C13</f>
        <v>1,308.76</v>
      </c>
      <c r="D18" s="49" t="str">
        <f>'Profit and loss account '!B13</f>
        <v>1,464.17</v>
      </c>
      <c r="E18" s="48">
        <f t="shared" si="2"/>
        <v>0.11874598856933287</v>
      </c>
      <c r="F18" s="47" t="str">
        <f t="shared" si="3"/>
        <v>↑</v>
      </c>
      <c r="G18" s="178" t="s">
        <v>437</v>
      </c>
      <c r="H18" s="179"/>
      <c r="I18" s="179"/>
      <c r="J18" s="179"/>
      <c r="K18" s="179"/>
      <c r="L18" s="42"/>
      <c r="M18" s="42"/>
      <c r="N18" s="42"/>
    </row>
    <row r="19" spans="1:14" ht="24" customHeight="1" x14ac:dyDescent="0.35">
      <c r="A19" s="42"/>
      <c r="B19" s="46" t="s">
        <v>161</v>
      </c>
      <c r="C19" s="45">
        <v>22855.82</v>
      </c>
      <c r="D19" s="45">
        <v>29029.64</v>
      </c>
      <c r="E19" s="44">
        <f t="shared" si="2"/>
        <v>0.2701202582099439</v>
      </c>
      <c r="F19" s="43" t="str">
        <f t="shared" si="3"/>
        <v>↑</v>
      </c>
      <c r="G19" s="178" t="s">
        <v>436</v>
      </c>
      <c r="H19" s="179"/>
      <c r="I19" s="179"/>
      <c r="J19" s="179"/>
      <c r="K19" s="179"/>
      <c r="L19" s="42"/>
      <c r="M19" s="42"/>
      <c r="N19" s="42"/>
    </row>
    <row r="20" spans="1:14" ht="32" customHeight="1" x14ac:dyDescent="0.35">
      <c r="A20" s="186" t="s">
        <v>435</v>
      </c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</row>
    <row r="21" spans="1:14" ht="44" customHeight="1" x14ac:dyDescent="0.35">
      <c r="A21" s="184" t="s">
        <v>514</v>
      </c>
      <c r="B21" s="179"/>
      <c r="C21" s="179"/>
      <c r="D21" s="179"/>
      <c r="E21" s="179"/>
      <c r="F21" s="179"/>
      <c r="G21" s="179"/>
      <c r="H21" s="179"/>
      <c r="I21" s="187" t="s">
        <v>434</v>
      </c>
      <c r="J21" s="179"/>
      <c r="K21" s="179"/>
      <c r="L21" s="179"/>
      <c r="M21" s="179"/>
      <c r="N21" s="179"/>
    </row>
    <row r="22" spans="1:14" ht="44" customHeight="1" x14ac:dyDescent="0.35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</row>
    <row r="23" spans="1:14" ht="24" customHeight="1" x14ac:dyDescent="0.35">
      <c r="A23" s="181" t="s">
        <v>433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</row>
  </sheetData>
  <mergeCells count="18">
    <mergeCell ref="B12:F12"/>
    <mergeCell ref="G17:K17"/>
    <mergeCell ref="G14:K14"/>
    <mergeCell ref="G19:K19"/>
    <mergeCell ref="G1:H1"/>
    <mergeCell ref="G15:K15"/>
    <mergeCell ref="A23:N23"/>
    <mergeCell ref="G2:K2"/>
    <mergeCell ref="A1:B1"/>
    <mergeCell ref="G16:K16"/>
    <mergeCell ref="A21:H22"/>
    <mergeCell ref="B2:F2"/>
    <mergeCell ref="I1:N1"/>
    <mergeCell ref="A20:N20"/>
    <mergeCell ref="I21:N22"/>
    <mergeCell ref="C1:F1"/>
    <mergeCell ref="G12:K12"/>
    <mergeCell ref="G18:K18"/>
  </mergeCells>
  <pageMargins left="0.2" right="0.2" top="0.25" bottom="0.25" header="0.3" footer="0.3"/>
  <pageSetup scale="82" orientation="landscape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A598-C598-48A1-8D78-451E1B6DE2C1}">
  <sheetPr>
    <pageSetUpPr fitToPage="1"/>
  </sheetPr>
  <dimension ref="A1:N24"/>
  <sheetViews>
    <sheetView showGridLines="0" tabSelected="1" zoomScale="86" zoomScaleNormal="130" workbookViewId="0">
      <selection sqref="A1:T51"/>
    </sheetView>
  </sheetViews>
  <sheetFormatPr defaultRowHeight="14.5" x14ac:dyDescent="0.35"/>
  <cols>
    <col min="1" max="1" width="7.7265625" customWidth="1"/>
    <col min="2" max="2" width="24.453125" customWidth="1"/>
    <col min="3" max="5" width="14.7265625" customWidth="1"/>
    <col min="6" max="6" width="9.7265625" customWidth="1"/>
    <col min="7" max="7" width="17.81640625" customWidth="1"/>
    <col min="8" max="10" width="14.7265625" customWidth="1"/>
    <col min="11" max="11" width="9.7265625" customWidth="1"/>
    <col min="12" max="12" width="0.90625" hidden="1" customWidth="1"/>
    <col min="13" max="13" width="4.1796875" hidden="1" customWidth="1"/>
    <col min="14" max="14" width="8.984375E-2" hidden="1" customWidth="1"/>
  </cols>
  <sheetData>
    <row r="1" spans="1:14" ht="78" customHeight="1" x14ac:dyDescent="0.35">
      <c r="A1" s="190" t="s">
        <v>480</v>
      </c>
      <c r="B1" s="190"/>
      <c r="C1" s="191" t="s">
        <v>479</v>
      </c>
      <c r="D1" s="191"/>
      <c r="E1" s="191"/>
      <c r="F1" s="191"/>
      <c r="G1" s="198" t="s">
        <v>391</v>
      </c>
      <c r="H1" s="198"/>
      <c r="I1" s="198"/>
      <c r="J1" s="198"/>
      <c r="K1" s="198"/>
      <c r="L1" s="198"/>
      <c r="M1" s="198"/>
      <c r="N1" s="198"/>
    </row>
    <row r="2" spans="1:14" ht="32" customHeight="1" x14ac:dyDescent="0.35">
      <c r="A2" s="2"/>
      <c r="B2" s="192" t="s">
        <v>479</v>
      </c>
      <c r="C2" s="192"/>
      <c r="D2" s="192"/>
      <c r="E2" s="192"/>
      <c r="F2" s="192"/>
      <c r="G2" s="192" t="s">
        <v>478</v>
      </c>
      <c r="H2" s="192"/>
      <c r="I2" s="192"/>
      <c r="J2" s="192"/>
      <c r="K2" s="192"/>
      <c r="L2" s="2"/>
      <c r="M2" s="2"/>
      <c r="N2" s="2"/>
    </row>
    <row r="3" spans="1:14" ht="30" customHeight="1" x14ac:dyDescent="0.35">
      <c r="A3" s="2"/>
      <c r="B3" s="85" t="s">
        <v>326</v>
      </c>
      <c r="C3" s="85" t="s">
        <v>327</v>
      </c>
      <c r="D3" s="85" t="s">
        <v>328</v>
      </c>
      <c r="E3" s="85" t="s">
        <v>329</v>
      </c>
      <c r="F3" s="85" t="s">
        <v>389</v>
      </c>
      <c r="G3" s="85" t="s">
        <v>326</v>
      </c>
      <c r="H3" s="85" t="s">
        <v>327</v>
      </c>
      <c r="I3" s="85" t="s">
        <v>328</v>
      </c>
      <c r="J3" s="85" t="s">
        <v>329</v>
      </c>
      <c r="K3" s="85" t="s">
        <v>389</v>
      </c>
      <c r="L3" s="2"/>
      <c r="M3" s="2"/>
      <c r="N3" s="2"/>
    </row>
    <row r="4" spans="1:14" ht="24" customHeight="1" x14ac:dyDescent="0.35">
      <c r="A4" s="2"/>
      <c r="B4" s="86" t="s">
        <v>477</v>
      </c>
      <c r="C4" s="87" t="str">
        <f>'Balance Sheet'!D28</f>
        <v>13,655.97</v>
      </c>
      <c r="D4" s="87" t="str">
        <f>'Balance Sheet'!C28</f>
        <v>15,472.64</v>
      </c>
      <c r="E4" s="88">
        <f t="shared" ref="E4:E11" si="0">(D4-C4)/C4</f>
        <v>0.13303119441533631</v>
      </c>
      <c r="F4" s="89" t="str">
        <f t="shared" ref="F4:F11" si="1">IF(E4&gt;0,"↑",IF(E4&lt;0,"↓","→"))</f>
        <v>↑</v>
      </c>
      <c r="G4" s="86" t="s">
        <v>474</v>
      </c>
      <c r="H4" s="87" t="str">
        <f>'Balance Sheet'!D27</f>
        <v>4,061.13</v>
      </c>
      <c r="I4" s="87" t="str">
        <f>'Balance Sheet'!C27</f>
        <v>3,442.85</v>
      </c>
      <c r="J4" s="90">
        <f>(I4-H4)/H4</f>
        <v>-0.15224334113904262</v>
      </c>
      <c r="K4" s="91" t="str">
        <f>IF(J4&gt;0,"↑",IF(J4&lt;0,"↓","→"))</f>
        <v>↓</v>
      </c>
      <c r="L4" s="2"/>
      <c r="M4" s="2"/>
      <c r="N4" s="2"/>
    </row>
    <row r="5" spans="1:14" ht="24" customHeight="1" x14ac:dyDescent="0.35">
      <c r="A5" s="2"/>
      <c r="B5" s="86" t="s">
        <v>476</v>
      </c>
      <c r="C5" s="87" t="str">
        <f>'Balance Sheet'!D35</f>
        <v>12,184.11</v>
      </c>
      <c r="D5" s="87" t="str">
        <f>'Balance Sheet'!C35</f>
        <v>13,677.89</v>
      </c>
      <c r="E5" s="88">
        <f t="shared" si="0"/>
        <v>0.12260066594933883</v>
      </c>
      <c r="F5" s="89" t="str">
        <f t="shared" si="1"/>
        <v>↑</v>
      </c>
      <c r="G5" s="86" t="s">
        <v>473</v>
      </c>
      <c r="H5" s="87" t="str">
        <f>'Balance Sheet'!D54</f>
        <v>1,105.77</v>
      </c>
      <c r="I5" s="87" t="str">
        <f>'Balance Sheet'!C54</f>
        <v>1,218.29</v>
      </c>
      <c r="J5" s="88">
        <f>(I5-H5)/H5</f>
        <v>0.10175714660372409</v>
      </c>
      <c r="K5" s="89" t="str">
        <f>IF(J5&gt;0,"↑",IF(J5&lt;0,"↓","→"))</f>
        <v>↑</v>
      </c>
      <c r="L5" s="2"/>
      <c r="M5" s="2"/>
      <c r="N5" s="2"/>
    </row>
    <row r="6" spans="1:14" ht="24" customHeight="1" x14ac:dyDescent="0.35">
      <c r="A6" s="2"/>
      <c r="B6" s="86" t="s">
        <v>475</v>
      </c>
      <c r="C6" s="87">
        <v>1471.86</v>
      </c>
      <c r="D6" s="87">
        <v>1794.75</v>
      </c>
      <c r="E6" s="88">
        <f t="shared" si="0"/>
        <v>0.21937548408136651</v>
      </c>
      <c r="F6" s="89" t="str">
        <f t="shared" si="1"/>
        <v>↑</v>
      </c>
      <c r="G6" s="86"/>
      <c r="H6" s="87"/>
      <c r="I6" s="87"/>
      <c r="J6" s="90"/>
      <c r="K6" s="91"/>
      <c r="L6" s="2"/>
      <c r="M6" s="2"/>
      <c r="N6" s="2"/>
    </row>
    <row r="7" spans="1:14" ht="24" customHeight="1" x14ac:dyDescent="0.35">
      <c r="A7" s="2"/>
      <c r="B7" s="86" t="s">
        <v>474</v>
      </c>
      <c r="C7" s="87" t="str">
        <f>'Balance Sheet'!D27</f>
        <v>4,061.13</v>
      </c>
      <c r="D7" s="87" t="str">
        <f>'Balance Sheet'!C27</f>
        <v>3,442.85</v>
      </c>
      <c r="E7" s="90">
        <f t="shared" si="0"/>
        <v>-0.15224334113904262</v>
      </c>
      <c r="F7" s="91" t="str">
        <f t="shared" si="1"/>
        <v>↓</v>
      </c>
      <c r="G7" s="86"/>
      <c r="H7" s="87"/>
      <c r="I7" s="87"/>
      <c r="J7" s="88"/>
      <c r="K7" s="89"/>
      <c r="L7" s="2"/>
      <c r="M7" s="2"/>
      <c r="N7" s="2"/>
    </row>
    <row r="8" spans="1:14" ht="24" customHeight="1" x14ac:dyDescent="0.35">
      <c r="A8" s="2"/>
      <c r="B8" s="86" t="s">
        <v>473</v>
      </c>
      <c r="C8" s="87">
        <v>1105.77</v>
      </c>
      <c r="D8" s="87" t="str">
        <f>'Balance Sheet'!C54</f>
        <v>1,218.29</v>
      </c>
      <c r="E8" s="88">
        <f t="shared" si="0"/>
        <v>0.10175714660372409</v>
      </c>
      <c r="F8" s="89" t="str">
        <f t="shared" si="1"/>
        <v>↑</v>
      </c>
      <c r="G8" s="86"/>
      <c r="H8" s="87"/>
      <c r="I8" s="87"/>
      <c r="J8" s="88"/>
      <c r="K8" s="89"/>
      <c r="L8" s="2"/>
      <c r="M8" s="2"/>
      <c r="N8" s="2"/>
    </row>
    <row r="9" spans="1:14" ht="24" customHeight="1" x14ac:dyDescent="0.35">
      <c r="A9" s="2"/>
      <c r="B9" s="86" t="s">
        <v>472</v>
      </c>
      <c r="C9" s="87" t="str">
        <f>'Balance Sheet'!D23</f>
        <v>191.50</v>
      </c>
      <c r="D9" s="87" t="str">
        <f>'Balance Sheet'!C23</f>
        <v>95.12</v>
      </c>
      <c r="E9" s="90">
        <f t="shared" si="0"/>
        <v>-0.50328981723237598</v>
      </c>
      <c r="F9" s="91" t="str">
        <f t="shared" si="1"/>
        <v>↓</v>
      </c>
      <c r="G9" s="200" t="s">
        <v>471</v>
      </c>
      <c r="H9" s="200"/>
      <c r="I9" s="200"/>
      <c r="J9" s="200"/>
      <c r="K9" s="200"/>
      <c r="L9" s="2"/>
      <c r="M9" s="2"/>
      <c r="N9" s="2"/>
    </row>
    <row r="10" spans="1:14" ht="33.5" customHeight="1" x14ac:dyDescent="0.35">
      <c r="A10" s="2"/>
      <c r="B10" s="86" t="s">
        <v>47</v>
      </c>
      <c r="C10" s="87" t="str">
        <f>'Balance Sheet'!D19</f>
        <v>2,248.28</v>
      </c>
      <c r="D10" s="87" t="str">
        <f>'Balance Sheet'!C19</f>
        <v>2,742.66</v>
      </c>
      <c r="E10" s="88">
        <f t="shared" si="0"/>
        <v>0.21989254007507944</v>
      </c>
      <c r="F10" s="89" t="str">
        <f t="shared" si="1"/>
        <v>↑</v>
      </c>
      <c r="G10" s="195" t="s">
        <v>470</v>
      </c>
      <c r="H10" s="195"/>
      <c r="I10" s="195"/>
      <c r="J10" s="195"/>
      <c r="K10" s="195"/>
      <c r="L10" s="2"/>
      <c r="M10" s="2"/>
      <c r="N10" s="2"/>
    </row>
    <row r="11" spans="1:14" ht="31.5" customHeight="1" x14ac:dyDescent="0.35">
      <c r="A11" s="2"/>
      <c r="B11" s="86" t="s">
        <v>469</v>
      </c>
      <c r="C11" s="87">
        <v>43.58</v>
      </c>
      <c r="D11" s="87">
        <v>66.89</v>
      </c>
      <c r="E11" s="88">
        <f t="shared" si="0"/>
        <v>0.53487838458008263</v>
      </c>
      <c r="F11" s="89" t="str">
        <f t="shared" si="1"/>
        <v>↑</v>
      </c>
      <c r="G11" s="201" t="s">
        <v>468</v>
      </c>
      <c r="H11" s="201"/>
      <c r="I11" s="201"/>
      <c r="J11" s="201"/>
      <c r="K11" s="201"/>
      <c r="L11" s="2"/>
      <c r="M11" s="2"/>
      <c r="N11" s="2"/>
    </row>
    <row r="12" spans="1:14" ht="28" customHeight="1" x14ac:dyDescent="0.35">
      <c r="A12" s="92"/>
      <c r="B12" s="194" t="s">
        <v>467</v>
      </c>
      <c r="C12" s="194"/>
      <c r="D12" s="194"/>
      <c r="E12" s="194"/>
      <c r="F12" s="194"/>
      <c r="G12" s="194"/>
      <c r="H12" s="194"/>
      <c r="I12" s="194"/>
      <c r="J12" s="194"/>
      <c r="K12" s="194"/>
      <c r="L12" s="93"/>
      <c r="M12" s="93"/>
      <c r="N12" s="93"/>
    </row>
    <row r="13" spans="1:14" ht="32" customHeight="1" x14ac:dyDescent="0.35">
      <c r="A13" s="2"/>
      <c r="B13" s="202" t="s">
        <v>466</v>
      </c>
      <c r="C13" s="202"/>
      <c r="D13" s="202"/>
      <c r="E13" s="202"/>
      <c r="F13" s="202"/>
      <c r="G13" s="202" t="s">
        <v>465</v>
      </c>
      <c r="H13" s="202"/>
      <c r="I13" s="202"/>
      <c r="J13" s="202"/>
      <c r="K13" s="202"/>
      <c r="L13" s="2"/>
      <c r="M13" s="2"/>
      <c r="N13" s="2"/>
    </row>
    <row r="14" spans="1:14" ht="30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36.5" customHeight="1" x14ac:dyDescent="0.35">
      <c r="A15" s="2"/>
      <c r="B15" s="86" t="s">
        <v>464</v>
      </c>
      <c r="C15" s="195" t="s">
        <v>515</v>
      </c>
      <c r="D15" s="195"/>
      <c r="E15" s="195"/>
      <c r="F15" s="195"/>
      <c r="G15" s="195" t="s">
        <v>516</v>
      </c>
      <c r="H15" s="195"/>
      <c r="I15" s="195"/>
      <c r="J15" s="195"/>
      <c r="K15" s="195"/>
      <c r="L15" s="2"/>
      <c r="M15" s="2"/>
      <c r="N15" s="2"/>
    </row>
    <row r="16" spans="1:14" ht="33" customHeight="1" x14ac:dyDescent="0.35">
      <c r="A16" s="2"/>
      <c r="B16" s="86" t="s">
        <v>463</v>
      </c>
      <c r="C16" s="195" t="s">
        <v>462</v>
      </c>
      <c r="D16" s="195"/>
      <c r="E16" s="195"/>
      <c r="F16" s="195"/>
      <c r="G16" s="195" t="s">
        <v>461</v>
      </c>
      <c r="H16" s="195"/>
      <c r="I16" s="195"/>
      <c r="J16" s="195"/>
      <c r="K16" s="195"/>
      <c r="L16" s="2"/>
      <c r="M16" s="2"/>
      <c r="N16" s="2"/>
    </row>
    <row r="17" spans="1:14" ht="36.5" customHeight="1" x14ac:dyDescent="0.35">
      <c r="A17" s="2"/>
      <c r="B17" s="86" t="s">
        <v>460</v>
      </c>
      <c r="C17" s="195" t="s">
        <v>459</v>
      </c>
      <c r="D17" s="195"/>
      <c r="E17" s="195"/>
      <c r="F17" s="195"/>
      <c r="G17" s="195" t="s">
        <v>458</v>
      </c>
      <c r="H17" s="195"/>
      <c r="I17" s="195"/>
      <c r="J17" s="195"/>
      <c r="K17" s="195"/>
      <c r="L17" s="2"/>
      <c r="M17" s="2"/>
      <c r="N17" s="2"/>
    </row>
    <row r="18" spans="1:14" ht="36.5" customHeight="1" x14ac:dyDescent="0.35">
      <c r="A18" s="2"/>
      <c r="B18" s="86" t="s">
        <v>457</v>
      </c>
      <c r="C18" s="195" t="s">
        <v>456</v>
      </c>
      <c r="D18" s="195"/>
      <c r="E18" s="195"/>
      <c r="F18" s="195"/>
      <c r="G18" s="195" t="s">
        <v>455</v>
      </c>
      <c r="H18" s="195"/>
      <c r="I18" s="195"/>
      <c r="J18" s="195"/>
      <c r="K18" s="195"/>
      <c r="L18" s="2"/>
      <c r="M18" s="2"/>
      <c r="N18" s="2"/>
    </row>
    <row r="19" spans="1:14" ht="32" customHeight="1" x14ac:dyDescent="0.35">
      <c r="A19" s="2"/>
      <c r="B19" s="86" t="s">
        <v>454</v>
      </c>
      <c r="C19" s="195" t="s">
        <v>453</v>
      </c>
      <c r="D19" s="195"/>
      <c r="E19" s="195"/>
      <c r="F19" s="195"/>
      <c r="G19" s="195" t="s">
        <v>452</v>
      </c>
      <c r="H19" s="195"/>
      <c r="I19" s="195"/>
      <c r="J19" s="195"/>
      <c r="K19" s="195"/>
      <c r="L19" s="2"/>
      <c r="M19" s="2"/>
      <c r="N19" s="2"/>
    </row>
    <row r="20" spans="1:14" ht="55.5" customHeight="1" x14ac:dyDescent="0.35">
      <c r="A20" s="2"/>
      <c r="B20" s="86" t="s">
        <v>451</v>
      </c>
      <c r="C20" s="195" t="s">
        <v>450</v>
      </c>
      <c r="D20" s="195"/>
      <c r="E20" s="195"/>
      <c r="F20" s="195"/>
      <c r="G20" s="195" t="s">
        <v>449</v>
      </c>
      <c r="H20" s="195"/>
      <c r="I20" s="195"/>
      <c r="J20" s="195"/>
      <c r="K20" s="195"/>
      <c r="L20" s="2"/>
      <c r="M20" s="2"/>
      <c r="N20" s="2"/>
    </row>
    <row r="21" spans="1:14" ht="32" customHeight="1" x14ac:dyDescent="0.35">
      <c r="A21" s="94"/>
      <c r="B21" s="193" t="s">
        <v>435</v>
      </c>
      <c r="C21" s="193"/>
      <c r="D21" s="193"/>
      <c r="E21" s="193"/>
      <c r="F21" s="193"/>
      <c r="G21" s="95"/>
      <c r="H21" s="96"/>
      <c r="I21" s="95"/>
      <c r="J21" s="95"/>
      <c r="K21" s="95"/>
      <c r="L21" s="95"/>
      <c r="M21" s="95"/>
      <c r="N21" s="95"/>
    </row>
    <row r="22" spans="1:14" ht="39.5" customHeight="1" x14ac:dyDescent="0.35">
      <c r="A22" s="97"/>
      <c r="B22" s="199" t="s">
        <v>448</v>
      </c>
      <c r="C22" s="199"/>
      <c r="D22" s="199"/>
      <c r="E22" s="199"/>
      <c r="F22" s="199"/>
      <c r="G22" s="199"/>
      <c r="H22" s="199"/>
      <c r="I22" s="196" t="s">
        <v>434</v>
      </c>
      <c r="J22" s="196"/>
      <c r="K22" s="196"/>
      <c r="L22" s="196"/>
      <c r="M22" s="196"/>
      <c r="N22" s="196"/>
    </row>
    <row r="23" spans="1:14" ht="12" customHeight="1" x14ac:dyDescent="0.35">
      <c r="A23" s="99"/>
      <c r="B23" s="199"/>
      <c r="C23" s="199"/>
      <c r="D23" s="199"/>
      <c r="E23" s="199"/>
      <c r="F23" s="199"/>
      <c r="G23" s="199"/>
      <c r="H23" s="199"/>
      <c r="I23" s="196"/>
      <c r="J23" s="196"/>
      <c r="K23" s="196"/>
      <c r="L23" s="196"/>
      <c r="M23" s="196"/>
      <c r="N23" s="196"/>
    </row>
    <row r="24" spans="1:14" ht="24" customHeight="1" x14ac:dyDescent="0.35">
      <c r="A24" s="197" t="s">
        <v>447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</row>
  </sheetData>
  <mergeCells count="27">
    <mergeCell ref="I22:N23"/>
    <mergeCell ref="A24:N24"/>
    <mergeCell ref="G1:N1"/>
    <mergeCell ref="C18:F18"/>
    <mergeCell ref="G18:K18"/>
    <mergeCell ref="C19:F19"/>
    <mergeCell ref="G19:K19"/>
    <mergeCell ref="C20:F20"/>
    <mergeCell ref="B22:H23"/>
    <mergeCell ref="G9:K9"/>
    <mergeCell ref="G10:K10"/>
    <mergeCell ref="G11:K11"/>
    <mergeCell ref="B13:F13"/>
    <mergeCell ref="G13:K13"/>
    <mergeCell ref="G20:K20"/>
    <mergeCell ref="C15:F15"/>
    <mergeCell ref="A1:B1"/>
    <mergeCell ref="C1:F1"/>
    <mergeCell ref="B2:F2"/>
    <mergeCell ref="G2:K2"/>
    <mergeCell ref="B21:F21"/>
    <mergeCell ref="B12:K12"/>
    <mergeCell ref="C16:F16"/>
    <mergeCell ref="G16:K16"/>
    <mergeCell ref="C17:F17"/>
    <mergeCell ref="G17:K17"/>
    <mergeCell ref="G15:K15"/>
  </mergeCells>
  <pageMargins left="0.25" right="0.25" top="0.3" bottom="0.3" header="0.3" footer="0.3"/>
  <pageSetup scale="73" orientation="landscape" r:id="rId1"/>
  <headerFooter>
    <oddHeader>&amp;LDMart | Balance Sheet Analysis&amp;C&amp;FY2021–FY2022&amp;RPage &amp;P of &amp;N</oddHeader>
    <oddFooter>&amp;LAvenue Supermarts Limited (DMart)&amp;RFinancial Analysis Project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B64C-3487-4C22-9C36-061279588DCC}">
  <sheetPr>
    <pageSetUpPr fitToPage="1"/>
  </sheetPr>
  <dimension ref="A1:N24"/>
  <sheetViews>
    <sheetView showGridLines="0" tabSelected="1" zoomScale="67" zoomScaleNormal="145" workbookViewId="0">
      <selection sqref="A1:T51"/>
    </sheetView>
  </sheetViews>
  <sheetFormatPr defaultRowHeight="14.5" x14ac:dyDescent="0.35"/>
  <cols>
    <col min="1" max="1" width="7.7265625" customWidth="1"/>
    <col min="2" max="2" width="37.54296875" customWidth="1"/>
    <col min="3" max="4" width="14.7265625" customWidth="1"/>
    <col min="5" max="5" width="13.7265625" customWidth="1"/>
    <col min="6" max="6" width="9.7265625" customWidth="1"/>
    <col min="7" max="7" width="34.7265625" customWidth="1"/>
    <col min="8" max="9" width="14.7265625" customWidth="1"/>
    <col min="10" max="10" width="2.26953125" customWidth="1"/>
    <col min="11" max="11" width="9.7265625" hidden="1" customWidth="1"/>
    <col min="12" max="12" width="8.984375E-2" customWidth="1"/>
    <col min="13" max="14" width="16.7265625" hidden="1" customWidth="1"/>
  </cols>
  <sheetData>
    <row r="1" spans="1:14" ht="64" customHeight="1" x14ac:dyDescent="0.35">
      <c r="A1" s="72"/>
      <c r="B1" s="73"/>
      <c r="C1" s="208" t="s">
        <v>500</v>
      </c>
      <c r="D1" s="208"/>
      <c r="E1" s="208"/>
      <c r="F1" s="208"/>
      <c r="G1" s="214" t="s">
        <v>391</v>
      </c>
      <c r="H1" s="214"/>
      <c r="I1" s="214"/>
      <c r="J1" s="214"/>
      <c r="K1" s="214"/>
      <c r="L1" s="214"/>
      <c r="M1" s="214"/>
      <c r="N1" s="214"/>
    </row>
    <row r="2" spans="1:14" ht="30" customHeight="1" x14ac:dyDescent="0.35">
      <c r="B2" s="71"/>
      <c r="K2" s="70"/>
      <c r="L2" s="69"/>
    </row>
    <row r="3" spans="1:14" ht="30" customHeight="1" x14ac:dyDescent="0.35">
      <c r="B3" s="202" t="s">
        <v>499</v>
      </c>
      <c r="C3" s="202"/>
      <c r="D3" s="202"/>
      <c r="E3" s="202"/>
      <c r="F3" s="202"/>
      <c r="G3" s="203" t="s">
        <v>465</v>
      </c>
      <c r="H3" s="203"/>
      <c r="I3" s="203"/>
      <c r="J3" s="203"/>
      <c r="K3" s="204"/>
      <c r="L3" s="69"/>
    </row>
    <row r="4" spans="1:14" ht="27" customHeight="1" x14ac:dyDescent="0.35">
      <c r="B4" s="75" t="s">
        <v>498</v>
      </c>
      <c r="C4" s="75" t="s">
        <v>327</v>
      </c>
      <c r="D4" s="75" t="s">
        <v>328</v>
      </c>
      <c r="E4" s="75" t="s">
        <v>329</v>
      </c>
      <c r="F4" s="75" t="s">
        <v>389</v>
      </c>
      <c r="L4" s="69"/>
    </row>
    <row r="5" spans="1:14" ht="42" customHeight="1" x14ac:dyDescent="0.35">
      <c r="B5" s="74" t="s">
        <v>497</v>
      </c>
      <c r="C5" s="76" t="str">
        <f>'Cash flow statement '!C33</f>
        <v>1,375.14</v>
      </c>
      <c r="D5" s="76" t="str">
        <f>'Cash flow statement '!B33</f>
        <v>1,372.35</v>
      </c>
      <c r="E5" s="77">
        <f>(D5-C5)/C5*100</f>
        <v>-0.2028884331777267</v>
      </c>
      <c r="F5" s="78" t="str">
        <f>IF(E5&gt;0,"↑",IF(E5&lt;0,"↓","→"))</f>
        <v>↓</v>
      </c>
      <c r="G5" s="205" t="s">
        <v>517</v>
      </c>
      <c r="H5" s="206"/>
      <c r="I5" s="206"/>
      <c r="J5" s="206"/>
      <c r="K5" s="207"/>
      <c r="L5" s="69"/>
    </row>
    <row r="6" spans="1:14" ht="42" customHeight="1" x14ac:dyDescent="0.35">
      <c r="B6" s="74" t="s">
        <v>496</v>
      </c>
      <c r="C6" s="76" t="str">
        <f>'Cash flow statement '!C41</f>
        <v>(1,110.00)</v>
      </c>
      <c r="D6" s="76" t="str">
        <f>'Cash flow statement '!B41</f>
        <v>(1,289.49)</v>
      </c>
      <c r="E6" s="106">
        <f>(D6-C6)/ABS(C6)</f>
        <v>-0.16170270270270271</v>
      </c>
      <c r="F6" s="107" t="str">
        <f>IF(E6&gt;0,"↑",IF(E6&lt;0,"↓","→"))</f>
        <v>↓</v>
      </c>
      <c r="G6" s="205" t="s">
        <v>518</v>
      </c>
      <c r="H6" s="206"/>
      <c r="I6" s="206"/>
      <c r="J6" s="206"/>
      <c r="K6" s="79"/>
      <c r="L6" s="69"/>
    </row>
    <row r="7" spans="1:14" ht="42" customHeight="1" x14ac:dyDescent="0.35">
      <c r="B7" s="74" t="s">
        <v>495</v>
      </c>
      <c r="C7" s="76" t="str">
        <f>'Cash flow statement '!C49</f>
        <v>(179.50)</v>
      </c>
      <c r="D7" s="76" t="str">
        <f>'Cash flow statement '!B49</f>
        <v>(179.24)</v>
      </c>
      <c r="E7" s="108">
        <f>(D7-C7)/ABS(C7)</f>
        <v>1.4484679665737654E-3</v>
      </c>
      <c r="F7" s="147" t="s">
        <v>569</v>
      </c>
      <c r="G7" s="205" t="s">
        <v>519</v>
      </c>
      <c r="H7" s="206"/>
      <c r="I7" s="206"/>
      <c r="J7" s="206"/>
      <c r="K7" s="79"/>
      <c r="L7" s="69"/>
    </row>
    <row r="8" spans="1:14" ht="42" customHeight="1" x14ac:dyDescent="0.35">
      <c r="B8" s="74" t="s">
        <v>494</v>
      </c>
      <c r="C8" s="76" t="str">
        <f>'Cash flow statement '!C50</f>
        <v>85.64</v>
      </c>
      <c r="D8" s="76" t="str">
        <f>'Cash flow statement '!B50</f>
        <v>(96.38)</v>
      </c>
      <c r="E8" s="77">
        <f>(D8-C8)/C8*100</f>
        <v>-212.54086875291915</v>
      </c>
      <c r="F8" s="78" t="str">
        <f>IF(E8&gt;0,"↑",IF(E8&lt;0,"↓","→"))</f>
        <v>↓</v>
      </c>
      <c r="G8" s="205" t="s">
        <v>520</v>
      </c>
      <c r="H8" s="206"/>
      <c r="I8" s="206"/>
      <c r="J8" s="206"/>
      <c r="K8" s="79"/>
      <c r="L8" s="69"/>
    </row>
    <row r="9" spans="1:14" ht="33.5" customHeight="1" x14ac:dyDescent="0.35">
      <c r="A9" s="68"/>
      <c r="B9" s="212" t="s">
        <v>493</v>
      </c>
      <c r="C9" s="213"/>
      <c r="D9" s="213"/>
      <c r="E9" s="213"/>
      <c r="F9" s="213"/>
      <c r="G9" s="213"/>
      <c r="H9" s="213"/>
      <c r="I9" s="213"/>
      <c r="J9" s="80"/>
      <c r="K9" s="80"/>
    </row>
    <row r="10" spans="1:14" ht="30" customHeight="1" x14ac:dyDescent="0.35">
      <c r="B10" s="203" t="s">
        <v>492</v>
      </c>
      <c r="C10" s="203"/>
      <c r="D10" s="203"/>
      <c r="E10" s="203"/>
      <c r="F10" s="204"/>
      <c r="G10" s="203" t="s">
        <v>491</v>
      </c>
      <c r="H10" s="203"/>
      <c r="I10" s="203"/>
      <c r="J10" s="203"/>
      <c r="K10" s="81"/>
    </row>
    <row r="11" spans="1:14" ht="30" customHeight="1" x14ac:dyDescent="0.35">
      <c r="B11" s="74" t="s">
        <v>490</v>
      </c>
      <c r="C11" s="209" t="s">
        <v>489</v>
      </c>
      <c r="D11" s="210"/>
      <c r="E11" s="210"/>
      <c r="F11" s="211"/>
      <c r="G11" s="209" t="s">
        <v>489</v>
      </c>
      <c r="H11" s="210"/>
      <c r="I11" s="210"/>
      <c r="J11" s="211"/>
      <c r="K11" s="82"/>
    </row>
    <row r="12" spans="1:14" ht="30" customHeight="1" x14ac:dyDescent="0.35">
      <c r="B12" s="74" t="s">
        <v>488</v>
      </c>
      <c r="C12" s="209" t="s">
        <v>487</v>
      </c>
      <c r="D12" s="210"/>
      <c r="E12" s="210"/>
      <c r="F12" s="211"/>
      <c r="G12" s="209" t="s">
        <v>487</v>
      </c>
      <c r="H12" s="210"/>
      <c r="I12" s="210"/>
      <c r="J12" s="211"/>
      <c r="K12" s="82"/>
    </row>
    <row r="13" spans="1:14" ht="30" customHeight="1" x14ac:dyDescent="0.35">
      <c r="B13" s="74" t="s">
        <v>486</v>
      </c>
      <c r="C13" s="209" t="s">
        <v>485</v>
      </c>
      <c r="D13" s="210"/>
      <c r="E13" s="210"/>
      <c r="F13" s="211"/>
      <c r="G13" s="209" t="s">
        <v>485</v>
      </c>
      <c r="H13" s="210"/>
      <c r="I13" s="210"/>
      <c r="J13" s="211"/>
      <c r="K13" s="82"/>
    </row>
    <row r="14" spans="1:14" ht="30" customHeight="1" x14ac:dyDescent="0.35">
      <c r="B14" s="74" t="s">
        <v>484</v>
      </c>
      <c r="C14" s="209" t="s">
        <v>483</v>
      </c>
      <c r="D14" s="210"/>
      <c r="E14" s="210"/>
      <c r="F14" s="211"/>
      <c r="G14" s="209" t="s">
        <v>483</v>
      </c>
      <c r="H14" s="210"/>
      <c r="I14" s="210"/>
      <c r="J14" s="211"/>
      <c r="K14" s="82"/>
    </row>
    <row r="15" spans="1:14" ht="30" customHeight="1" x14ac:dyDescent="0.35">
      <c r="A15" s="67"/>
      <c r="B15" s="216" t="s">
        <v>435</v>
      </c>
      <c r="C15" s="216"/>
      <c r="D15" s="216"/>
      <c r="E15" s="216"/>
      <c r="F15" s="216"/>
      <c r="G15" s="83"/>
      <c r="H15" s="83"/>
      <c r="I15" s="83"/>
      <c r="J15" s="83"/>
      <c r="K15" s="83"/>
      <c r="L15" s="62"/>
      <c r="M15" s="62"/>
      <c r="N15" s="62"/>
    </row>
    <row r="16" spans="1:14" ht="30" customHeight="1" x14ac:dyDescent="0.35">
      <c r="A16" s="66"/>
      <c r="B16" s="217" t="s">
        <v>482</v>
      </c>
      <c r="C16" s="217"/>
      <c r="D16" s="217"/>
      <c r="E16" s="217"/>
      <c r="F16" s="217"/>
      <c r="G16" s="84"/>
      <c r="H16" s="218" t="s">
        <v>434</v>
      </c>
      <c r="I16" s="218"/>
      <c r="J16" s="218"/>
      <c r="K16" s="218"/>
    </row>
    <row r="17" spans="1:14" ht="30" customHeight="1" x14ac:dyDescent="0.35">
      <c r="A17" s="66"/>
      <c r="B17" s="217"/>
      <c r="C17" s="217"/>
      <c r="D17" s="217"/>
      <c r="E17" s="217"/>
      <c r="F17" s="217"/>
      <c r="G17" s="84"/>
      <c r="H17" s="218"/>
      <c r="I17" s="218"/>
      <c r="J17" s="218"/>
      <c r="K17" s="218"/>
    </row>
    <row r="18" spans="1:14" ht="23" customHeight="1" x14ac:dyDescent="0.35">
      <c r="B18" s="215" t="s">
        <v>481</v>
      </c>
      <c r="C18" s="215"/>
      <c r="D18" s="215"/>
      <c r="E18" s="215"/>
      <c r="F18" s="215"/>
      <c r="G18" s="215"/>
    </row>
    <row r="19" spans="1:14" ht="50" customHeight="1" x14ac:dyDescent="0.35"/>
    <row r="20" spans="1:14" ht="25" customHeight="1" x14ac:dyDescent="0.35"/>
    <row r="21" spans="1:14" ht="25" customHeight="1" x14ac:dyDescent="0.35">
      <c r="L21" s="63"/>
      <c r="M21" s="63"/>
      <c r="N21" s="63"/>
    </row>
    <row r="22" spans="1:14" ht="25" customHeight="1" x14ac:dyDescent="0.35">
      <c r="L22" s="64"/>
      <c r="M22" s="64"/>
      <c r="N22" s="64"/>
    </row>
    <row r="23" spans="1:14" ht="25" customHeight="1" x14ac:dyDescent="0.35">
      <c r="L23" s="64"/>
      <c r="M23" s="64"/>
      <c r="N23" s="64"/>
    </row>
    <row r="24" spans="1:14" ht="25" customHeight="1" x14ac:dyDescent="0.35">
      <c r="A24" s="215"/>
      <c r="B24" s="215"/>
      <c r="C24" s="215"/>
      <c r="D24" s="215"/>
      <c r="E24" s="215"/>
      <c r="F24" s="215"/>
      <c r="L24" s="65"/>
      <c r="M24" s="65"/>
      <c r="N24" s="65"/>
    </row>
  </sheetData>
  <mergeCells count="24">
    <mergeCell ref="A24:F24"/>
    <mergeCell ref="B15:F15"/>
    <mergeCell ref="B16:F17"/>
    <mergeCell ref="G13:J13"/>
    <mergeCell ref="G12:J12"/>
    <mergeCell ref="B18:G18"/>
    <mergeCell ref="G14:J14"/>
    <mergeCell ref="H16:K17"/>
    <mergeCell ref="C12:F12"/>
    <mergeCell ref="C13:F13"/>
    <mergeCell ref="C14:F14"/>
    <mergeCell ref="G3:K3"/>
    <mergeCell ref="G5:K5"/>
    <mergeCell ref="C1:F1"/>
    <mergeCell ref="B3:F3"/>
    <mergeCell ref="G11:J11"/>
    <mergeCell ref="B9:I9"/>
    <mergeCell ref="G10:J10"/>
    <mergeCell ref="C11:F11"/>
    <mergeCell ref="G1:N1"/>
    <mergeCell ref="B10:F10"/>
    <mergeCell ref="G8:J8"/>
    <mergeCell ref="G7:J7"/>
    <mergeCell ref="G6:J6"/>
  </mergeCells>
  <pageMargins left="0.25" right="0.25" top="0.3" bottom="0.3" header="0.3" footer="0.3"/>
  <pageSetup scale="85" orientation="landscape" r:id="rId1"/>
  <headerFooter>
    <oddHeader>&amp;LDMart | Cash Flow Analysis&amp;C&amp;FY2021–FY2022&amp;RPage &amp;P of &amp;N</oddHeader>
    <oddFooter>&amp;LAvenue Supermarts Limited (DMart)&amp;RFinancial Analysis Project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57F-73CD-4E74-8B60-C63F1EBE9535}">
  <sheetPr>
    <pageSetUpPr fitToPage="1"/>
  </sheetPr>
  <dimension ref="A1:N24"/>
  <sheetViews>
    <sheetView showGridLines="0" tabSelected="1" zoomScale="65" zoomScaleNormal="145" workbookViewId="0">
      <selection sqref="A1:T51"/>
    </sheetView>
  </sheetViews>
  <sheetFormatPr defaultRowHeight="15.5" x14ac:dyDescent="0.35"/>
  <cols>
    <col min="1" max="1" width="7.7265625" style="2" customWidth="1"/>
    <col min="2" max="2" width="34.7265625" style="2" customWidth="1"/>
    <col min="3" max="4" width="14.7265625" style="2" customWidth="1"/>
    <col min="5" max="5" width="15.7265625" style="2" customWidth="1"/>
    <col min="6" max="6" width="16" style="2" customWidth="1"/>
    <col min="7" max="7" width="34.7265625" style="2" customWidth="1"/>
    <col min="8" max="9" width="14.7265625" style="2" customWidth="1"/>
    <col min="10" max="10" width="13.7265625" style="2" customWidth="1"/>
    <col min="11" max="11" width="9.7265625" style="2" customWidth="1"/>
    <col min="12" max="14" width="16.7265625" style="2" hidden="1" customWidth="1"/>
    <col min="15" max="16384" width="8.7265625" style="2"/>
  </cols>
  <sheetData>
    <row r="1" spans="1:14" ht="78" customHeight="1" x14ac:dyDescent="0.35">
      <c r="A1" s="190"/>
      <c r="B1" s="190"/>
      <c r="C1" s="208" t="s">
        <v>513</v>
      </c>
      <c r="D1" s="208"/>
      <c r="E1" s="208"/>
      <c r="F1" s="208"/>
      <c r="G1" s="225" t="s">
        <v>391</v>
      </c>
      <c r="H1" s="225"/>
      <c r="I1" s="225"/>
      <c r="J1" s="225"/>
      <c r="K1" s="225"/>
      <c r="L1" s="225"/>
      <c r="M1" s="225"/>
      <c r="N1" s="225"/>
    </row>
    <row r="2" spans="1:14" ht="40" customHeight="1" x14ac:dyDescent="0.35">
      <c r="B2" s="192" t="s">
        <v>512</v>
      </c>
      <c r="C2" s="192"/>
      <c r="D2" s="192"/>
      <c r="E2" s="192"/>
      <c r="F2" s="192"/>
      <c r="G2" s="192" t="s">
        <v>465</v>
      </c>
      <c r="H2" s="192"/>
      <c r="I2" s="192"/>
      <c r="J2" s="192"/>
      <c r="K2" s="192"/>
    </row>
    <row r="3" spans="1:14" ht="30" customHeight="1" x14ac:dyDescent="0.35">
      <c r="B3" s="85" t="s">
        <v>511</v>
      </c>
      <c r="C3" s="85" t="s">
        <v>327</v>
      </c>
      <c r="D3" s="85" t="s">
        <v>328</v>
      </c>
      <c r="E3" s="85" t="s">
        <v>329</v>
      </c>
      <c r="F3" s="85" t="s">
        <v>389</v>
      </c>
      <c r="G3" s="226" t="s">
        <v>510</v>
      </c>
      <c r="H3" s="227"/>
      <c r="I3" s="227"/>
      <c r="J3" s="227"/>
      <c r="K3" s="228"/>
    </row>
    <row r="4" spans="1:14" ht="54.5" customHeight="1" x14ac:dyDescent="0.35">
      <c r="B4" s="86" t="s">
        <v>454</v>
      </c>
      <c r="C4" s="100" t="str">
        <f>'Balance Sheet'!D19</f>
        <v>2,248.28</v>
      </c>
      <c r="D4" s="100" t="str">
        <f>'Balance Sheet'!C19</f>
        <v>2,742.66</v>
      </c>
      <c r="E4" s="88">
        <f>(Table12[[#This Row],[FY2022]]-Table12[[#This Row],[FY2021]])/Table12[[#This Row],[FY2021]]</f>
        <v>0.21989254007507944</v>
      </c>
      <c r="F4" s="89" t="str">
        <f>IF(E4&gt;0,"↑",IF(E4&lt;0,"↓","→"))</f>
        <v>↑</v>
      </c>
      <c r="G4" s="229"/>
      <c r="H4" s="230"/>
      <c r="I4" s="230"/>
      <c r="J4" s="230"/>
      <c r="K4" s="231"/>
    </row>
    <row r="5" spans="1:14" ht="40" customHeight="1" x14ac:dyDescent="0.35">
      <c r="B5" s="86" t="s">
        <v>469</v>
      </c>
      <c r="C5" s="100">
        <f>'Balance Sheet'!D22</f>
        <v>43.58</v>
      </c>
      <c r="D5" s="100">
        <f>'Balance Sheet'!C22</f>
        <v>66.89</v>
      </c>
      <c r="E5" s="88">
        <f>(Table12[[#This Row],[FY2022]]-Table12[[#This Row],[FY2021]])/Table12[[#This Row],[FY2021]]</f>
        <v>0.53487838458008263</v>
      </c>
      <c r="F5" s="89" t="str">
        <f>IF(E5&gt;0,"↑",IF(E5&lt;0,"↓","→"))</f>
        <v>↑</v>
      </c>
      <c r="G5" s="232" t="s">
        <v>509</v>
      </c>
      <c r="H5" s="233"/>
      <c r="I5" s="233"/>
      <c r="J5" s="233"/>
      <c r="K5" s="233"/>
    </row>
    <row r="6" spans="1:14" ht="40" customHeight="1" x14ac:dyDescent="0.35">
      <c r="B6" s="86" t="s">
        <v>508</v>
      </c>
      <c r="C6" s="100">
        <f>'Balance Sheet'!D48+'Balance Sheet'!D49</f>
        <v>578.13</v>
      </c>
      <c r="D6" s="100">
        <f>'Balance Sheet'!C48+'Balance Sheet'!C49</f>
        <v>589.19999999999993</v>
      </c>
      <c r="E6" s="88">
        <f>(Table12[[#This Row],[FY2022]]-Table12[[#This Row],[FY2021]])/Table12[[#This Row],[FY2021]]</f>
        <v>1.9147942504280934E-2</v>
      </c>
      <c r="F6" s="89" t="str">
        <f>IF(E6&gt;0,"↑",IF(E6&lt;0,"↓","→"))</f>
        <v>↑</v>
      </c>
      <c r="G6" s="234" t="s">
        <v>507</v>
      </c>
      <c r="H6" s="235"/>
      <c r="I6" s="235"/>
      <c r="J6" s="235"/>
      <c r="K6" s="236"/>
    </row>
    <row r="7" spans="1:14" ht="40" customHeight="1" x14ac:dyDescent="0.35">
      <c r="B7" s="86" t="s">
        <v>474</v>
      </c>
      <c r="C7" s="100" t="str">
        <f>'Balance Sheet'!D27</f>
        <v>4,061.13</v>
      </c>
      <c r="D7" s="100" t="str">
        <f>'Balance Sheet'!C27</f>
        <v>3,442.85</v>
      </c>
      <c r="E7" s="90">
        <f>(Table12[[#This Row],[FY2022]]-Table12[[#This Row],[FY2021]])/Table12[[#This Row],[FY2021]]</f>
        <v>-0.15224334113904262</v>
      </c>
      <c r="F7" s="91" t="str">
        <f>IF(E7&gt;0,"↑",IF(E7&lt;0,"↓","→"))</f>
        <v>↓</v>
      </c>
      <c r="G7" s="220" t="s">
        <v>435</v>
      </c>
      <c r="H7" s="220"/>
      <c r="I7" s="220"/>
      <c r="J7" s="220"/>
      <c r="K7" s="220"/>
    </row>
    <row r="8" spans="1:14" ht="40" customHeight="1" x14ac:dyDescent="0.35">
      <c r="B8" s="86" t="s">
        <v>473</v>
      </c>
      <c r="C8" s="100" t="str">
        <f>'Balance Sheet'!D54</f>
        <v>1,105.77</v>
      </c>
      <c r="D8" s="100" t="str">
        <f>'Balance Sheet'!C54</f>
        <v>1,218.29</v>
      </c>
      <c r="E8" s="88">
        <f>(Table12[[#This Row],[FY2022]]-Table12[[#This Row],[FY2021]])/Table12[[#This Row],[FY2021]]</f>
        <v>0.10175714660372409</v>
      </c>
      <c r="F8" s="89" t="str">
        <f>IF(E8&gt;0,"↑",IF(E8&lt;0,"↓","→"))</f>
        <v>↑</v>
      </c>
      <c r="G8" s="221" t="s">
        <v>503</v>
      </c>
      <c r="H8" s="222"/>
      <c r="I8" s="222"/>
      <c r="J8" s="222"/>
      <c r="K8" s="222"/>
    </row>
    <row r="9" spans="1:14" ht="21" customHeight="1" x14ac:dyDescent="0.35">
      <c r="B9" s="202" t="s">
        <v>506</v>
      </c>
      <c r="C9" s="202"/>
      <c r="D9" s="202"/>
      <c r="E9" s="202"/>
      <c r="F9" s="202"/>
      <c r="G9" s="223"/>
      <c r="H9" s="224"/>
      <c r="I9" s="224"/>
      <c r="J9" s="224"/>
      <c r="K9" s="224"/>
    </row>
    <row r="10" spans="1:14" ht="38" customHeight="1" x14ac:dyDescent="0.35">
      <c r="B10" s="110" t="s">
        <v>505</v>
      </c>
      <c r="C10" s="111">
        <v>2955.36</v>
      </c>
      <c r="D10" s="111">
        <v>2224.56</v>
      </c>
      <c r="E10" s="112">
        <v>-0.24727951924638628</v>
      </c>
      <c r="F10" s="113" t="str">
        <f>IF(E10&gt;0,"↑",IF(E10&lt;0,"↓","→"))</f>
        <v>↓</v>
      </c>
      <c r="G10" s="223"/>
      <c r="H10" s="224"/>
      <c r="I10" s="224"/>
      <c r="J10" s="224"/>
      <c r="K10" s="224"/>
    </row>
    <row r="11" spans="1:14" ht="38" customHeight="1" x14ac:dyDescent="0.35">
      <c r="A11" s="101"/>
      <c r="B11" s="219" t="s">
        <v>504</v>
      </c>
      <c r="C11" s="219"/>
      <c r="D11" s="219"/>
      <c r="E11" s="219"/>
      <c r="F11" s="219"/>
      <c r="G11" s="98"/>
      <c r="H11" s="98"/>
      <c r="I11" s="196" t="s">
        <v>434</v>
      </c>
      <c r="J11" s="196"/>
      <c r="K11" s="196"/>
    </row>
    <row r="12" spans="1:14" ht="38" customHeight="1" x14ac:dyDescent="0.35">
      <c r="G12" s="109"/>
      <c r="H12" s="109"/>
      <c r="I12" s="109"/>
      <c r="J12" s="109"/>
      <c r="K12" s="109"/>
    </row>
    <row r="13" spans="1:14" ht="38" customHeight="1" x14ac:dyDescent="0.35"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102"/>
      <c r="M13" s="102"/>
      <c r="N13" s="102"/>
    </row>
    <row r="14" spans="1:14" ht="38" customHeight="1" x14ac:dyDescent="0.35">
      <c r="B14" s="103"/>
      <c r="C14" s="103"/>
      <c r="D14" s="103"/>
      <c r="E14" s="103"/>
      <c r="F14" s="103"/>
      <c r="G14" s="103"/>
      <c r="H14" s="103"/>
      <c r="I14" s="109"/>
      <c r="J14" s="109"/>
      <c r="K14" s="109"/>
      <c r="L14" s="102"/>
      <c r="M14" s="102"/>
      <c r="N14" s="102"/>
    </row>
    <row r="15" spans="1:14" ht="30" customHeight="1" x14ac:dyDescent="0.35">
      <c r="B15" s="103"/>
      <c r="C15" s="103"/>
      <c r="D15" s="103"/>
      <c r="E15" s="103"/>
      <c r="F15" s="103"/>
      <c r="G15" s="103"/>
      <c r="H15" s="103"/>
      <c r="I15" s="109"/>
      <c r="J15" s="109"/>
      <c r="K15" s="109"/>
    </row>
    <row r="16" spans="1:14" ht="33" customHeight="1" x14ac:dyDescent="0.35">
      <c r="L16" s="98"/>
    </row>
    <row r="17" spans="1:14" ht="0.5" customHeight="1" x14ac:dyDescent="0.35">
      <c r="L17" s="98"/>
    </row>
    <row r="18" spans="1:14" ht="40" customHeight="1" x14ac:dyDescent="0.35">
      <c r="A18" s="94"/>
      <c r="L18" s="95"/>
      <c r="M18" s="95"/>
      <c r="N18" s="95"/>
    </row>
    <row r="19" spans="1:14" ht="40" customHeight="1" x14ac:dyDescent="0.35">
      <c r="A19" s="103"/>
      <c r="L19" s="109"/>
      <c r="M19" s="109"/>
      <c r="N19" s="109"/>
    </row>
    <row r="20" spans="1:14" ht="40" customHeight="1" x14ac:dyDescent="0.35">
      <c r="A20" s="103"/>
      <c r="L20" s="109"/>
      <c r="M20" s="109"/>
      <c r="N20" s="109"/>
    </row>
    <row r="21" spans="1:14" ht="45" customHeight="1" x14ac:dyDescent="0.35"/>
    <row r="22" spans="1:14" ht="45" customHeight="1" x14ac:dyDescent="0.35"/>
    <row r="23" spans="1:14" ht="25" customHeight="1" x14ac:dyDescent="0.35"/>
    <row r="24" spans="1:14" ht="25" customHeight="1" x14ac:dyDescent="0.35"/>
  </sheetData>
  <mergeCells count="13">
    <mergeCell ref="B9:F9"/>
    <mergeCell ref="A1:B1"/>
    <mergeCell ref="C1:F1"/>
    <mergeCell ref="B2:F2"/>
    <mergeCell ref="I11:K11"/>
    <mergeCell ref="B11:F11"/>
    <mergeCell ref="G7:K7"/>
    <mergeCell ref="G8:K10"/>
    <mergeCell ref="G1:N1"/>
    <mergeCell ref="G3:K4"/>
    <mergeCell ref="G5:K5"/>
    <mergeCell ref="G6:K6"/>
    <mergeCell ref="G2:K2"/>
  </mergeCells>
  <pageMargins left="0.25" right="0.25" top="0.3" bottom="0.3" header="0.3" footer="0.3"/>
  <pageSetup scale="70" orientation="landscape" r:id="rId1"/>
  <headerFooter>
    <oddHeader>&amp;LDMart | Working Capital Analysis&amp;C&amp;FY2021–FY2022&amp;RPage &amp;P of &amp;N</oddHeader>
    <oddFooter>&amp;LAvenue Supermarts Limited (DMart)&amp;RFinancial Analysis Project</oddFoot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E495-8405-45FB-B9E9-9685C4A7EF46}">
  <sheetPr>
    <tabColor rgb="FF0B5D3B"/>
    <pageSetUpPr fitToPage="1"/>
  </sheetPr>
  <dimension ref="A1:H32"/>
  <sheetViews>
    <sheetView showGridLines="0" tabSelected="1" zoomScale="66" workbookViewId="0">
      <selection sqref="A1:T51"/>
    </sheetView>
  </sheetViews>
  <sheetFormatPr defaultRowHeight="14.5" x14ac:dyDescent="0.35"/>
  <cols>
    <col min="1" max="1" width="7" customWidth="1"/>
    <col min="2" max="2" width="37.36328125" customWidth="1"/>
    <col min="3" max="3" width="33" customWidth="1"/>
    <col min="4" max="6" width="14" customWidth="1"/>
    <col min="7" max="7" width="10" customWidth="1"/>
    <col min="8" max="8" width="56" customWidth="1"/>
  </cols>
  <sheetData>
    <row r="1" spans="1:8" ht="58" customHeight="1" x14ac:dyDescent="0.35">
      <c r="A1" s="237"/>
      <c r="B1" s="179"/>
      <c r="C1" s="238" t="s">
        <v>390</v>
      </c>
      <c r="D1" s="239"/>
      <c r="E1" s="239"/>
      <c r="F1" s="239"/>
      <c r="G1" s="240" t="s">
        <v>391</v>
      </c>
      <c r="H1" s="179"/>
    </row>
    <row r="2" spans="1:8" ht="28" customHeight="1" x14ac:dyDescent="0.35">
      <c r="A2" s="179"/>
      <c r="B2" s="179"/>
      <c r="C2" s="239"/>
      <c r="D2" s="239"/>
      <c r="E2" s="239"/>
      <c r="F2" s="239"/>
      <c r="G2" s="179"/>
      <c r="H2" s="179"/>
    </row>
    <row r="3" spans="1:8" ht="30" customHeight="1" x14ac:dyDescent="0.35">
      <c r="A3" s="179"/>
      <c r="B3" s="179"/>
      <c r="C3" s="241" t="s">
        <v>392</v>
      </c>
      <c r="D3" s="179"/>
      <c r="E3" s="179"/>
      <c r="F3" s="179"/>
      <c r="G3" s="179"/>
      <c r="H3" s="179"/>
    </row>
    <row r="4" spans="1:8" ht="34" customHeight="1" x14ac:dyDescent="0.35">
      <c r="A4" s="242" t="s">
        <v>393</v>
      </c>
      <c r="B4" s="179"/>
      <c r="C4" s="242" t="s">
        <v>394</v>
      </c>
      <c r="D4" s="179"/>
      <c r="E4" s="242" t="s">
        <v>395</v>
      </c>
      <c r="F4" s="179"/>
      <c r="G4" s="242" t="s">
        <v>396</v>
      </c>
      <c r="H4" s="179"/>
    </row>
    <row r="5" spans="1:8" ht="3" customHeight="1" x14ac:dyDescent="0.35">
      <c r="A5" s="179"/>
      <c r="B5" s="179"/>
      <c r="C5" s="179"/>
      <c r="D5" s="179"/>
      <c r="E5" s="179"/>
      <c r="F5" s="179"/>
      <c r="G5" s="179"/>
      <c r="H5" s="179"/>
    </row>
    <row r="6" spans="1:8" ht="28" customHeight="1" x14ac:dyDescent="0.35">
      <c r="A6" s="29"/>
      <c r="B6" s="30" t="s">
        <v>359</v>
      </c>
      <c r="C6" s="30" t="s">
        <v>360</v>
      </c>
      <c r="D6" s="30" t="s">
        <v>327</v>
      </c>
      <c r="E6" s="30" t="s">
        <v>328</v>
      </c>
      <c r="F6" s="30" t="s">
        <v>329</v>
      </c>
      <c r="G6" s="30" t="s">
        <v>389</v>
      </c>
      <c r="H6" s="31" t="s">
        <v>397</v>
      </c>
    </row>
    <row r="7" spans="1:8" ht="30" customHeight="1" x14ac:dyDescent="0.35">
      <c r="A7" s="32" t="s">
        <v>398</v>
      </c>
      <c r="B7" s="33"/>
      <c r="C7" s="245" t="s">
        <v>365</v>
      </c>
      <c r="D7" s="179"/>
      <c r="E7" s="246" t="s">
        <v>399</v>
      </c>
      <c r="F7" s="179"/>
      <c r="G7" s="179"/>
      <c r="H7" s="247"/>
    </row>
    <row r="8" spans="1:8" ht="32" customHeight="1" x14ac:dyDescent="0.35">
      <c r="A8" s="34"/>
      <c r="B8" s="35" t="s">
        <v>361</v>
      </c>
      <c r="C8" s="36" t="s">
        <v>362</v>
      </c>
      <c r="D8" s="37">
        <f>'Balance Sheet'!D27/'Balance Sheet'!D54</f>
        <v>3.6726715320545864</v>
      </c>
      <c r="E8" s="37">
        <f>'Balance Sheet'!C27/'Balance Sheet'!C54</f>
        <v>2.8259691863185283</v>
      </c>
      <c r="F8" s="38">
        <f>(E8-D8)/ABS(D8)</f>
        <v>-0.23054126630877636</v>
      </c>
      <c r="G8" s="39" t="str">
        <f>IF(F8&gt;0,"↑",IF(F8&lt;0,"↓","→"))</f>
        <v>↓</v>
      </c>
      <c r="H8" s="40" t="s">
        <v>400</v>
      </c>
    </row>
    <row r="9" spans="1:8" ht="32" customHeight="1" x14ac:dyDescent="0.35">
      <c r="A9" s="34"/>
      <c r="B9" s="35" t="s">
        <v>363</v>
      </c>
      <c r="C9" s="36" t="s">
        <v>401</v>
      </c>
      <c r="D9" s="37">
        <f>('Balance Sheet'!D27-'Balance Sheet'!D19)/'Balance Sheet'!D54</f>
        <v>1.6394458160376932</v>
      </c>
      <c r="E9" s="37">
        <f>('Balance Sheet'!C27-'Balance Sheet'!C19)/'Balance Sheet'!C54</f>
        <v>0.57473179620615789</v>
      </c>
      <c r="F9" s="38">
        <f>(E9-D9)/ABS(D9)</f>
        <v>-0.64943532101890222</v>
      </c>
      <c r="G9" s="39" t="str">
        <f>IF(F9&gt;0,"↑",IF(F9&lt;0,"↓","→"))</f>
        <v>↓</v>
      </c>
      <c r="H9" s="40" t="s">
        <v>402</v>
      </c>
    </row>
    <row r="10" spans="1:8" ht="32" customHeight="1" x14ac:dyDescent="0.35">
      <c r="A10" s="34"/>
      <c r="B10" s="35" t="s">
        <v>364</v>
      </c>
      <c r="C10" s="36" t="s">
        <v>403</v>
      </c>
      <c r="D10" s="37">
        <f>'Balance Sheet'!D23/'Balance Sheet'!D54</f>
        <v>0.17318248822087776</v>
      </c>
      <c r="E10" s="37">
        <f>'Balance Sheet'!C23/'Balance Sheet'!C54</f>
        <v>7.8076648417043565E-2</v>
      </c>
      <c r="F10" s="38">
        <f>(E10-D10)/ABS(D10)</f>
        <v>-0.54916545420305862</v>
      </c>
      <c r="G10" s="39" t="str">
        <f>IF(F10&gt;0,"↑",IF(F10&lt;0,"↓","→"))</f>
        <v>↓</v>
      </c>
      <c r="H10" s="40" t="s">
        <v>404</v>
      </c>
    </row>
    <row r="11" spans="1:8" ht="30" customHeight="1" x14ac:dyDescent="0.35">
      <c r="A11" s="32" t="s">
        <v>405</v>
      </c>
      <c r="B11" s="33"/>
      <c r="C11" s="245" t="s">
        <v>366</v>
      </c>
      <c r="D11" s="179"/>
      <c r="E11" s="246" t="s">
        <v>406</v>
      </c>
      <c r="F11" s="179"/>
      <c r="G11" s="179"/>
      <c r="H11" s="247"/>
    </row>
    <row r="12" spans="1:8" ht="27" customHeight="1" x14ac:dyDescent="0.35">
      <c r="A12" s="34"/>
      <c r="B12" s="35" t="s">
        <v>367</v>
      </c>
      <c r="C12" s="36" t="s">
        <v>407</v>
      </c>
      <c r="D12" s="38">
        <f>(24143.06-(20855.56+(-300.88)))/24143.06</f>
        <v>0.14862987541761488</v>
      </c>
      <c r="E12" s="38">
        <f>(30976.27-(26891.77+(-494.38)))/30976.27</f>
        <v>0.1478189594809188</v>
      </c>
      <c r="F12" s="38">
        <f t="shared" ref="F12:F17" si="0">(E12-D12)/ABS(D12)</f>
        <v>-5.4559417103566474E-3</v>
      </c>
      <c r="G12" s="115" t="str">
        <f t="shared" ref="G12:G17" si="1">IF(F12&gt;0,"↑",IF(F12&lt;0,"↓","→"))</f>
        <v>↓</v>
      </c>
      <c r="H12" s="40" t="s">
        <v>408</v>
      </c>
    </row>
    <row r="13" spans="1:8" ht="32" customHeight="1" x14ac:dyDescent="0.35">
      <c r="A13" s="34"/>
      <c r="B13" s="35" t="s">
        <v>335</v>
      </c>
      <c r="C13" s="36" t="s">
        <v>368</v>
      </c>
      <c r="D13" s="38">
        <f>'Revenue &amp; Profitability'!H7</f>
        <v>6.1444158279853507E-2</v>
      </c>
      <c r="E13" s="38">
        <f>'Revenue &amp; Profitability'!I7</f>
        <v>6.6635524548307457E-2</v>
      </c>
      <c r="F13" s="38">
        <f t="shared" si="0"/>
        <v>8.4489175436489136E-2</v>
      </c>
      <c r="G13" s="39" t="str">
        <f t="shared" si="1"/>
        <v>↑</v>
      </c>
      <c r="H13" s="40" t="s">
        <v>409</v>
      </c>
    </row>
    <row r="14" spans="1:8" ht="27" customHeight="1" x14ac:dyDescent="0.35">
      <c r="A14" s="34"/>
      <c r="B14" s="35" t="s">
        <v>336</v>
      </c>
      <c r="C14" s="36" t="s">
        <v>369</v>
      </c>
      <c r="D14" s="38">
        <f>'Revenue &amp; Profitability'!H8</f>
        <v>4.5538138081916708E-2</v>
      </c>
      <c r="E14" s="38">
        <f>'Revenue &amp; Profitability'!I8</f>
        <v>4.8178815590127544E-2</v>
      </c>
      <c r="F14" s="38">
        <f t="shared" si="0"/>
        <v>5.7988262573683357E-2</v>
      </c>
      <c r="G14" s="39" t="str">
        <f t="shared" si="1"/>
        <v>↑</v>
      </c>
      <c r="H14" s="40" t="s">
        <v>410</v>
      </c>
    </row>
    <row r="15" spans="1:8" ht="32" customHeight="1" x14ac:dyDescent="0.35">
      <c r="A15" s="34"/>
      <c r="B15" s="35" t="s">
        <v>370</v>
      </c>
      <c r="C15" s="36" t="s">
        <v>371</v>
      </c>
      <c r="D15" s="41">
        <f>'Profit and loss account '!C21/'Balance Sheet'!D28*100</f>
        <v>8.0509110667349155</v>
      </c>
      <c r="E15" s="41">
        <f>'Profit and loss account '!B21/'Balance Sheet'!C28*100</f>
        <v>9.6454128060886841</v>
      </c>
      <c r="F15" s="38">
        <f t="shared" si="0"/>
        <v>0.19805233546076498</v>
      </c>
      <c r="G15" s="39" t="str">
        <f t="shared" si="1"/>
        <v>↑</v>
      </c>
      <c r="H15" s="40" t="s">
        <v>411</v>
      </c>
    </row>
    <row r="16" spans="1:8" ht="32" customHeight="1" x14ac:dyDescent="0.35">
      <c r="A16" s="34"/>
      <c r="B16" s="35" t="s">
        <v>372</v>
      </c>
      <c r="C16" s="36" t="s">
        <v>373</v>
      </c>
      <c r="D16" s="41">
        <f>'Profit and loss account '!C21/'Balance Sheet'!D35*100</f>
        <v>9.02347401656748</v>
      </c>
      <c r="E16" s="41">
        <f>'Profit and loss account '!B21/'Balance Sheet'!C35*100</f>
        <v>10.911039641348191</v>
      </c>
      <c r="F16" s="38">
        <f t="shared" si="0"/>
        <v>0.20918391534292233</v>
      </c>
      <c r="G16" s="39" t="str">
        <f t="shared" si="1"/>
        <v>↑</v>
      </c>
      <c r="H16" s="40" t="s">
        <v>412</v>
      </c>
    </row>
    <row r="17" spans="1:8" ht="27" customHeight="1" x14ac:dyDescent="0.35">
      <c r="A17" s="34"/>
      <c r="B17" s="35" t="s">
        <v>374</v>
      </c>
      <c r="C17" s="36" t="s">
        <v>375</v>
      </c>
      <c r="D17" s="41">
        <f>('Profit and loss account '!C15+'Cash flow statement '!C8)/('Balance Sheet'!D28-'Balance Sheet'!D54)*100</f>
        <v>12.151997577727847</v>
      </c>
      <c r="E17" s="41">
        <f>('Profit and loss account '!B15+'Cash flow statement '!B8)/('Balance Sheet'!C28-'Balance Sheet'!C54)*100</f>
        <v>14.857990718622737</v>
      </c>
      <c r="F17" s="38">
        <f t="shared" si="0"/>
        <v>0.22267887428272926</v>
      </c>
      <c r="G17" s="39" t="str">
        <f t="shared" si="1"/>
        <v>↑</v>
      </c>
      <c r="H17" s="40" t="s">
        <v>413</v>
      </c>
    </row>
    <row r="18" spans="1:8" ht="30" customHeight="1" x14ac:dyDescent="0.35">
      <c r="A18" s="32" t="s">
        <v>414</v>
      </c>
      <c r="B18" s="33"/>
      <c r="C18" s="245" t="s">
        <v>415</v>
      </c>
      <c r="D18" s="179"/>
      <c r="E18" s="246" t="s">
        <v>416</v>
      </c>
      <c r="F18" s="179"/>
      <c r="G18" s="179"/>
      <c r="H18" s="247"/>
    </row>
    <row r="19" spans="1:8" ht="32" customHeight="1" x14ac:dyDescent="0.35">
      <c r="A19" s="34"/>
      <c r="B19" s="35" t="s">
        <v>376</v>
      </c>
      <c r="C19" s="36" t="s">
        <v>377</v>
      </c>
      <c r="D19" s="37">
        <f>(20855.56-300.88)/((1947.4+2248.28)/2)</f>
        <v>9.7980208214163138</v>
      </c>
      <c r="E19" s="37">
        <f>(26891.77-494.38)/((2248.28+2742.66)/2)</f>
        <v>10.578123559890519</v>
      </c>
      <c r="F19" s="38">
        <f>(E19-D19)/ABS(D19)</f>
        <v>7.9618399745494825E-2</v>
      </c>
      <c r="G19" s="39" t="str">
        <f>IF(F19&gt;0,"↑",IF(F19&lt;0,"↓","→"))</f>
        <v>↑</v>
      </c>
      <c r="H19" s="40" t="s">
        <v>417</v>
      </c>
    </row>
    <row r="20" spans="1:8" ht="32" customHeight="1" x14ac:dyDescent="0.35">
      <c r="A20" s="34"/>
      <c r="B20" s="35" t="s">
        <v>378</v>
      </c>
      <c r="C20" s="36" t="s">
        <v>418</v>
      </c>
      <c r="D20" s="37">
        <f>24143.06/((19.55+43.58)/2)</f>
        <v>764.86805005544124</v>
      </c>
      <c r="E20" s="37">
        <f>30976.27/((43.58+66.89)/2)</f>
        <v>560.80872635104549</v>
      </c>
      <c r="F20" s="38">
        <f>(E20-D20)/ABS(D20)</f>
        <v>-0.26679023092885701</v>
      </c>
      <c r="G20" s="115" t="str">
        <f>IF(F20&gt;0,"↑",IF(F20&lt;0,"↓","→"))</f>
        <v>↓</v>
      </c>
      <c r="H20" s="40" t="s">
        <v>419</v>
      </c>
    </row>
    <row r="21" spans="1:8" ht="32" customHeight="1" x14ac:dyDescent="0.35">
      <c r="A21" s="34"/>
      <c r="B21" s="35" t="s">
        <v>379</v>
      </c>
      <c r="C21" s="36" t="s">
        <v>380</v>
      </c>
      <c r="D21" s="37">
        <f>20855.56/((433.45+578.13)/2)</f>
        <v>41.233634512347024</v>
      </c>
      <c r="E21" s="37">
        <f>26891.77/((578.13+589.2)/2)</f>
        <v>46.073980793777253</v>
      </c>
      <c r="F21" s="38">
        <f>(E21-D21)/ABS(D21)</f>
        <v>0.11738830056275618</v>
      </c>
      <c r="G21" s="39" t="str">
        <f>IF(F21&gt;0,"↑",IF(F21&lt;0,"↓","→"))</f>
        <v>↑</v>
      </c>
      <c r="H21" s="40" t="s">
        <v>420</v>
      </c>
    </row>
    <row r="22" spans="1:8" ht="32" customHeight="1" x14ac:dyDescent="0.35">
      <c r="A22" s="34"/>
      <c r="B22" s="35" t="s">
        <v>381</v>
      </c>
      <c r="C22" s="36" t="s">
        <v>421</v>
      </c>
      <c r="D22" s="37">
        <f>24143.06/((12076.16+13655.97)/2)</f>
        <v>1.8764913747909717</v>
      </c>
      <c r="E22" s="37">
        <f>30976.27/((13655.97+15472.64)/2)</f>
        <v>2.1268622155331132</v>
      </c>
      <c r="F22" s="38">
        <f>(E22-D22)/ABS(D22)</f>
        <v>0.13342498884122558</v>
      </c>
      <c r="G22" s="39" t="str">
        <f>IF(F22&gt;0,"↑",IF(F22&lt;0,"↓","→"))</f>
        <v>↑</v>
      </c>
      <c r="H22" s="40" t="s">
        <v>422</v>
      </c>
    </row>
    <row r="23" spans="1:8" ht="30" customHeight="1" x14ac:dyDescent="0.35">
      <c r="A23" s="32" t="s">
        <v>423</v>
      </c>
      <c r="B23" s="33"/>
      <c r="C23" s="245" t="s">
        <v>424</v>
      </c>
      <c r="D23" s="179"/>
      <c r="E23" s="246" t="s">
        <v>425</v>
      </c>
      <c r="F23" s="179"/>
      <c r="G23" s="179"/>
      <c r="H23" s="247"/>
    </row>
    <row r="24" spans="1:8" ht="32" customHeight="1" x14ac:dyDescent="0.35">
      <c r="A24" s="34"/>
      <c r="B24" s="35" t="s">
        <v>382</v>
      </c>
      <c r="C24" s="36" t="s">
        <v>385</v>
      </c>
      <c r="D24" s="37">
        <f>('Balance Sheet'!D39+'Balance Sheet'!D46)/'Balance Sheet'!D35</f>
        <v>3.2231324241163282E-2</v>
      </c>
      <c r="E24" s="37">
        <f>('Balance Sheet'!C39+'Balance Sheet'!C46)/'Balance Sheet'!C35</f>
        <v>4.7298230940590984E-2</v>
      </c>
      <c r="F24" s="38">
        <f>(E24-D24)/ABS(D24)</f>
        <v>0.46746160929328018</v>
      </c>
      <c r="G24" s="39" t="str">
        <f>IF(F24&gt;0,"↑",IF(F24&lt;0,"↓","→"))</f>
        <v>↑</v>
      </c>
      <c r="H24" s="40" t="s">
        <v>426</v>
      </c>
    </row>
    <row r="25" spans="1:8" ht="32" customHeight="1" x14ac:dyDescent="0.35">
      <c r="A25" s="34"/>
      <c r="B25" s="35" t="s">
        <v>383</v>
      </c>
      <c r="C25" s="36" t="s">
        <v>386</v>
      </c>
      <c r="D25" s="38">
        <f>('Balance Sheet'!D39+'Balance Sheet'!D46)/'Balance Sheet'!D28</f>
        <v>2.8757385963794589E-2</v>
      </c>
      <c r="E25" s="38">
        <f>('Balance Sheet'!C39+'Balance Sheet'!C46)/'Balance Sheet'!C28</f>
        <v>4.1811869209133025E-2</v>
      </c>
      <c r="F25" s="38">
        <f>(E25-D25)/ABS(D25)</f>
        <v>0.45395236068305955</v>
      </c>
      <c r="G25" s="39" t="str">
        <f>IF(F25&gt;0,"↑",IF(F25&lt;0,"↓","→"))</f>
        <v>↑</v>
      </c>
      <c r="H25" s="40" t="s">
        <v>427</v>
      </c>
    </row>
    <row r="26" spans="1:8" ht="27" customHeight="1" x14ac:dyDescent="0.35">
      <c r="A26" s="34"/>
      <c r="B26" s="35" t="s">
        <v>384</v>
      </c>
      <c r="C26" s="36" t="s">
        <v>387</v>
      </c>
      <c r="D26" s="37">
        <f>('Profit and loss account '!C15+'Cash flow statement '!C8)/'Cash flow statement '!C8</f>
        <v>36.617046818727495</v>
      </c>
      <c r="E26" s="37">
        <f>('Profit and loss account '!B15+'Cash flow statement '!B8)/'Cash flow statement '!B8</f>
        <v>39.373675404350251</v>
      </c>
      <c r="F26" s="38">
        <f>(E26-D26)/ABS(D26)</f>
        <v>7.5282657262597724E-2</v>
      </c>
      <c r="G26" s="39" t="str">
        <f>IF(F26&gt;0,"↑",IF(F26&lt;0,"↓","→"))</f>
        <v>↑</v>
      </c>
      <c r="H26" s="40" t="s">
        <v>428</v>
      </c>
    </row>
    <row r="27" spans="1:8" ht="22" customHeight="1" x14ac:dyDescent="0.35">
      <c r="H27" s="114" t="s">
        <v>521</v>
      </c>
    </row>
    <row r="28" spans="1:8" ht="48" customHeight="1" x14ac:dyDescent="0.35">
      <c r="A28" s="248" t="s">
        <v>429</v>
      </c>
      <c r="B28" s="179"/>
      <c r="C28" s="249" t="s">
        <v>430</v>
      </c>
      <c r="D28" s="179"/>
      <c r="E28" s="179"/>
      <c r="F28" s="179"/>
      <c r="G28" s="250" t="s">
        <v>432</v>
      </c>
      <c r="H28" s="179"/>
    </row>
    <row r="29" spans="1:8" ht="24" customHeight="1" x14ac:dyDescent="0.4">
      <c r="A29" s="243"/>
      <c r="B29" s="179"/>
      <c r="C29" s="179"/>
      <c r="D29" s="179"/>
      <c r="E29" s="244" t="s">
        <v>431</v>
      </c>
      <c r="F29" s="179"/>
      <c r="G29" s="179"/>
      <c r="H29" s="179"/>
    </row>
    <row r="30" spans="1:8" ht="22" customHeight="1" x14ac:dyDescent="0.35"/>
    <row r="31" spans="1:8" ht="22" customHeight="1" x14ac:dyDescent="0.35"/>
    <row r="32" spans="1:8" ht="22" customHeight="1" x14ac:dyDescent="0.35"/>
  </sheetData>
  <mergeCells count="21">
    <mergeCell ref="A29:D29"/>
    <mergeCell ref="E29:H29"/>
    <mergeCell ref="C7:D7"/>
    <mergeCell ref="E7:H7"/>
    <mergeCell ref="C11:D11"/>
    <mergeCell ref="E11:H11"/>
    <mergeCell ref="C18:D18"/>
    <mergeCell ref="E18:H18"/>
    <mergeCell ref="C23:D23"/>
    <mergeCell ref="E23:H23"/>
    <mergeCell ref="A28:B28"/>
    <mergeCell ref="C28:F28"/>
    <mergeCell ref="G28:H28"/>
    <mergeCell ref="A1:B3"/>
    <mergeCell ref="C1:F2"/>
    <mergeCell ref="G1:H3"/>
    <mergeCell ref="C3:F3"/>
    <mergeCell ref="A4:B5"/>
    <mergeCell ref="C4:D5"/>
    <mergeCell ref="E4:F5"/>
    <mergeCell ref="G4:H5"/>
  </mergeCells>
  <conditionalFormatting sqref="F8:F27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/>
  <pageMargins left="0.2" right="0.2" top="0.2" bottom="0.2" header="0.5" footer="0.5"/>
  <pageSetup scale="72" fitToHeight="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BA60-AA33-41FB-9D4C-B9143C7517DF}">
  <sheetPr>
    <pageSetUpPr fitToPage="1"/>
  </sheetPr>
  <dimension ref="A1:AE79"/>
  <sheetViews>
    <sheetView showGridLines="0" tabSelected="1" zoomScale="65" zoomScaleNormal="67" workbookViewId="0">
      <selection sqref="A1:T51"/>
    </sheetView>
  </sheetViews>
  <sheetFormatPr defaultRowHeight="14.5" x14ac:dyDescent="0.35"/>
  <cols>
    <col min="1" max="1" width="3" customWidth="1"/>
    <col min="2" max="5" width="14" customWidth="1"/>
    <col min="6" max="6" width="14.36328125" customWidth="1"/>
    <col min="7" max="7" width="3.6328125" customWidth="1"/>
    <col min="8" max="13" width="15" customWidth="1"/>
    <col min="14" max="14" width="8.6328125" customWidth="1"/>
    <col min="15" max="20" width="14" customWidth="1"/>
  </cols>
  <sheetData>
    <row r="1" spans="1:20" ht="22" customHeight="1" x14ac:dyDescent="0.35">
      <c r="A1" s="116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304" t="s">
        <v>391</v>
      </c>
      <c r="P1" s="304"/>
      <c r="Q1" s="304"/>
      <c r="R1" s="304"/>
      <c r="S1" s="304"/>
      <c r="T1" s="304"/>
    </row>
    <row r="2" spans="1:20" ht="22" customHeight="1" x14ac:dyDescent="0.35">
      <c r="A2" s="116"/>
      <c r="B2" s="119"/>
      <c r="C2" s="118"/>
      <c r="D2" s="118"/>
      <c r="E2" s="118"/>
      <c r="F2" s="118"/>
      <c r="G2" s="305" t="s">
        <v>530</v>
      </c>
      <c r="H2" s="305"/>
      <c r="I2" s="305"/>
      <c r="J2" s="305"/>
      <c r="K2" s="305"/>
      <c r="L2" s="305"/>
      <c r="M2" s="305"/>
      <c r="N2" s="118"/>
      <c r="O2" s="304"/>
      <c r="P2" s="304"/>
      <c r="Q2" s="304"/>
      <c r="R2" s="304"/>
      <c r="S2" s="304"/>
      <c r="T2" s="304"/>
    </row>
    <row r="3" spans="1:20" ht="22" customHeight="1" x14ac:dyDescent="0.35">
      <c r="A3" s="116"/>
      <c r="B3" s="118"/>
      <c r="C3" s="118"/>
      <c r="D3" s="118"/>
      <c r="E3" s="118"/>
      <c r="F3" s="118"/>
      <c r="G3" s="305"/>
      <c r="H3" s="305"/>
      <c r="I3" s="305"/>
      <c r="J3" s="305"/>
      <c r="K3" s="305"/>
      <c r="L3" s="305"/>
      <c r="M3" s="305"/>
      <c r="N3" s="118"/>
      <c r="O3" s="304"/>
      <c r="P3" s="304"/>
      <c r="Q3" s="304"/>
      <c r="R3" s="304"/>
      <c r="S3" s="304"/>
      <c r="T3" s="304"/>
    </row>
    <row r="4" spans="1:20" ht="22" customHeight="1" x14ac:dyDescent="0.35">
      <c r="A4" s="116"/>
      <c r="B4" s="118"/>
      <c r="C4" s="118"/>
      <c r="D4" s="118"/>
      <c r="E4" s="118"/>
      <c r="F4" s="118"/>
      <c r="G4" s="305"/>
      <c r="H4" s="305"/>
      <c r="I4" s="305"/>
      <c r="J4" s="305"/>
      <c r="K4" s="305"/>
      <c r="L4" s="305"/>
      <c r="M4" s="305"/>
      <c r="N4" s="118"/>
      <c r="O4" s="304"/>
      <c r="P4" s="304"/>
      <c r="Q4" s="304"/>
      <c r="R4" s="304"/>
      <c r="S4" s="304"/>
      <c r="T4" s="304"/>
    </row>
    <row r="5" spans="1:20" ht="22" customHeight="1" x14ac:dyDescent="0.35">
      <c r="A5" s="116"/>
      <c r="B5" s="307"/>
      <c r="C5" s="307"/>
      <c r="D5" s="307"/>
      <c r="E5" s="307"/>
      <c r="F5" s="307"/>
      <c r="G5" s="305"/>
      <c r="H5" s="305"/>
      <c r="I5" s="305"/>
      <c r="J5" s="305"/>
      <c r="K5" s="305"/>
      <c r="L5" s="305"/>
      <c r="M5" s="305"/>
      <c r="N5" s="118"/>
      <c r="O5" s="304"/>
      <c r="P5" s="304"/>
      <c r="Q5" s="304"/>
      <c r="R5" s="304"/>
      <c r="S5" s="304"/>
      <c r="T5" s="304"/>
    </row>
    <row r="6" spans="1:20" ht="22" customHeight="1" x14ac:dyDescent="0.35">
      <c r="A6" s="116"/>
      <c r="B6" s="307"/>
      <c r="C6" s="307"/>
      <c r="D6" s="307"/>
      <c r="E6" s="307"/>
      <c r="F6" s="307"/>
      <c r="G6" s="305"/>
      <c r="H6" s="305"/>
      <c r="I6" s="305"/>
      <c r="J6" s="305"/>
      <c r="K6" s="305"/>
      <c r="L6" s="305"/>
      <c r="M6" s="305"/>
      <c r="N6" s="118"/>
      <c r="O6" s="304"/>
      <c r="P6" s="304"/>
      <c r="Q6" s="304"/>
      <c r="R6" s="304"/>
      <c r="S6" s="304"/>
      <c r="T6" s="304"/>
    </row>
    <row r="7" spans="1:20" ht="22" customHeight="1" x14ac:dyDescent="0.35">
      <c r="A7" s="116"/>
      <c r="B7" s="118"/>
      <c r="C7" s="118"/>
      <c r="D7" s="118"/>
      <c r="E7" s="118"/>
      <c r="F7" s="118"/>
      <c r="G7" s="118"/>
      <c r="H7" s="290"/>
      <c r="I7" s="291"/>
      <c r="J7" s="291"/>
      <c r="K7" s="291"/>
      <c r="L7" s="291"/>
      <c r="M7" s="291"/>
      <c r="N7" s="118"/>
      <c r="O7" s="304"/>
      <c r="P7" s="304"/>
      <c r="Q7" s="304"/>
      <c r="R7" s="304"/>
      <c r="S7" s="304"/>
      <c r="T7" s="304"/>
    </row>
    <row r="8" spans="1:20" ht="17" customHeight="1" x14ac:dyDescent="0.35">
      <c r="A8" s="116"/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</row>
    <row r="9" spans="1:20" ht="22" customHeight="1" x14ac:dyDescent="0.3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</row>
    <row r="10" spans="1:20" ht="31.5" customHeight="1" x14ac:dyDescent="0.6">
      <c r="A10" s="116"/>
      <c r="B10" s="331" t="s">
        <v>543</v>
      </c>
      <c r="C10" s="331"/>
      <c r="D10" s="331"/>
      <c r="E10" s="331"/>
      <c r="F10" s="306" t="s">
        <v>544</v>
      </c>
      <c r="G10" s="306"/>
      <c r="H10" s="306"/>
      <c r="I10" s="306"/>
      <c r="J10" s="301" t="s">
        <v>545</v>
      </c>
      <c r="K10" s="301"/>
      <c r="L10" s="301"/>
      <c r="M10" s="301"/>
      <c r="N10" s="301" t="s">
        <v>374</v>
      </c>
      <c r="O10" s="301"/>
      <c r="P10" s="301"/>
      <c r="Q10" s="301"/>
      <c r="R10" s="308" t="s">
        <v>490</v>
      </c>
      <c r="S10" s="308"/>
      <c r="T10" s="308"/>
    </row>
    <row r="11" spans="1:20" ht="22" customHeight="1" x14ac:dyDescent="0.6">
      <c r="A11" s="116"/>
      <c r="B11" s="300">
        <f>'Dashboard Data Engine '!E2</f>
        <v>30976.27</v>
      </c>
      <c r="C11" s="300"/>
      <c r="D11" s="300"/>
      <c r="E11" s="300"/>
      <c r="F11" s="300">
        <f>'Dashboard Data Engine '!E4</f>
        <v>2064.12</v>
      </c>
      <c r="G11" s="300"/>
      <c r="H11" s="300"/>
      <c r="I11" s="300"/>
      <c r="J11" s="300">
        <f>'Dashboard Data Engine '!E5</f>
        <v>1492.4</v>
      </c>
      <c r="K11" s="300"/>
      <c r="L11" s="300"/>
      <c r="M11" s="300"/>
      <c r="N11" s="302">
        <f>'Ratio Analysis'!E17/100</f>
        <v>0.14857990718622738</v>
      </c>
      <c r="O11" s="303"/>
      <c r="P11" s="303"/>
      <c r="Q11" s="303"/>
      <c r="R11" s="309" t="str">
        <f>'Dashboard Data Engine '!E15</f>
        <v>1,372.35</v>
      </c>
      <c r="S11" s="309"/>
      <c r="T11" s="309"/>
    </row>
    <row r="12" spans="1:20" ht="47" customHeight="1" x14ac:dyDescent="0.35">
      <c r="A12" s="116"/>
      <c r="B12" s="271" t="str">
        <f>"FY21 ₹"&amp;TEXT('Dashboard Data Engine '!D2,"#,##0.00")&amp;" Cr  |  "&amp;TEXT('Dashboard Data Engine '!F2,"0.00%")</f>
        <v>FY21 ₹24,143.06 Cr  |  28.30%</v>
      </c>
      <c r="C12" s="271"/>
      <c r="D12" s="271"/>
      <c r="E12" s="271"/>
      <c r="F12" s="270" t="str">
        <f>"FY21 ₹"&amp;TEXT('Dashboard Data Engine '!D4,"#,##0.00")&amp;" Cr  |  "&amp;TEXT('Dashboard Data Engine '!F4,"0.00%")</f>
        <v>FY21 ₹1,483.45 Cr  |  39.14%</v>
      </c>
      <c r="G12" s="270"/>
      <c r="H12" s="270"/>
      <c r="I12" s="270"/>
      <c r="J12" s="270" t="str">
        <f>"FY21 ₹"&amp;TEXT('Dashboard Data Engine '!D5,"#,##0.00")&amp;" Cr  |  "&amp;TEXT('Dashboard Data Engine '!F5,"0.00%")</f>
        <v>FY21 ₹1,099.43 Cr  |  35.74%</v>
      </c>
      <c r="K12" s="270"/>
      <c r="L12" s="270"/>
      <c r="M12" s="270"/>
      <c r="N12" s="270" t="str">
        <f>"FY21 "&amp;TEXT('Dashboard Data Engine '!D31,"0.00%")&amp;"  |  "&amp;TEXT('Dashboard Data Engine '!F31,"0.00%")</f>
        <v>FY21 12.15%  |  22.27%</v>
      </c>
      <c r="O12" s="270"/>
      <c r="P12" s="270"/>
      <c r="Q12" s="270"/>
      <c r="R12" s="271" t="str">
        <f>"FY21 ₹"&amp;TEXT('Dashboard Data Engine '!D15,"#,##0.00")&amp;" Cr  |  "&amp;TEXT('Dashboard Data Engine '!F15,"0.00%")</f>
        <v>FY21 ₹1,375.14 Cr  |  -0.20%</v>
      </c>
      <c r="S12" s="271"/>
      <c r="T12" s="271"/>
    </row>
    <row r="13" spans="1:20" ht="22" customHeight="1" x14ac:dyDescent="0.35">
      <c r="A13" s="116"/>
      <c r="B13" s="275" t="s">
        <v>546</v>
      </c>
      <c r="C13" s="276"/>
      <c r="D13" s="276"/>
      <c r="E13" s="276"/>
      <c r="F13" s="277"/>
      <c r="G13" s="116"/>
      <c r="H13" s="275" t="s">
        <v>554</v>
      </c>
      <c r="I13" s="276"/>
      <c r="J13" s="276"/>
      <c r="K13" s="276"/>
      <c r="L13" s="277"/>
      <c r="M13" s="116"/>
      <c r="N13" s="116"/>
      <c r="O13" s="292" t="s">
        <v>529</v>
      </c>
      <c r="P13" s="293"/>
      <c r="Q13" s="293"/>
      <c r="R13" s="293"/>
      <c r="S13" s="293"/>
      <c r="T13" s="294"/>
    </row>
    <row r="14" spans="1:20" ht="16" customHeight="1" x14ac:dyDescent="0.35">
      <c r="A14" s="116"/>
      <c r="B14" s="278" t="s">
        <v>547</v>
      </c>
      <c r="C14" s="279"/>
      <c r="D14" s="279" t="s">
        <v>548</v>
      </c>
      <c r="E14" s="279"/>
      <c r="F14" s="280"/>
      <c r="G14" s="116"/>
      <c r="H14" s="281">
        <f>'Dashboard Data Engine '!E22</f>
        <v>2224.56</v>
      </c>
      <c r="I14" s="282"/>
      <c r="J14" s="282"/>
      <c r="K14" s="282"/>
      <c r="L14" s="283"/>
      <c r="M14" s="116"/>
      <c r="N14" s="116"/>
      <c r="O14" s="295"/>
      <c r="P14" s="179"/>
      <c r="Q14" s="179"/>
      <c r="R14" s="179"/>
      <c r="S14" s="179"/>
      <c r="T14" s="296"/>
    </row>
    <row r="15" spans="1:20" ht="16.5" customHeight="1" x14ac:dyDescent="0.35">
      <c r="A15" s="116"/>
      <c r="B15" s="278" t="s">
        <v>549</v>
      </c>
      <c r="C15" s="279"/>
      <c r="D15" s="279" t="s">
        <v>550</v>
      </c>
      <c r="E15" s="279"/>
      <c r="F15" s="280"/>
      <c r="G15" s="116"/>
      <c r="H15" s="281"/>
      <c r="I15" s="282"/>
      <c r="J15" s="282"/>
      <c r="K15" s="282"/>
      <c r="L15" s="283"/>
      <c r="M15" s="116"/>
      <c r="N15" s="116"/>
      <c r="O15" s="295"/>
      <c r="P15" s="179"/>
      <c r="Q15" s="179"/>
      <c r="R15" s="179"/>
      <c r="S15" s="179"/>
      <c r="T15" s="296"/>
    </row>
    <row r="16" spans="1:20" ht="22" customHeight="1" x14ac:dyDescent="0.35">
      <c r="A16" s="116"/>
      <c r="B16" s="278" t="s">
        <v>551</v>
      </c>
      <c r="C16" s="279"/>
      <c r="D16" s="279" t="s">
        <v>552</v>
      </c>
      <c r="E16" s="279"/>
      <c r="F16" s="280"/>
      <c r="G16" s="116"/>
      <c r="H16" s="284" t="str">
        <f>"FY21 ₹"&amp;TEXT('Dashboard Data Engine '!D22,"#,##0.00")&amp;" Cr | "&amp;TEXT('Dashboard Data Engine '!F22,"0.00%")</f>
        <v>FY21 ₹2,955.36 Cr | -24.73%</v>
      </c>
      <c r="I16" s="285"/>
      <c r="J16" s="285"/>
      <c r="K16" s="285"/>
      <c r="L16" s="286"/>
      <c r="M16" s="116"/>
      <c r="N16" s="116"/>
      <c r="O16" s="295"/>
      <c r="P16" s="179"/>
      <c r="Q16" s="179"/>
      <c r="R16" s="179"/>
      <c r="S16" s="179"/>
      <c r="T16" s="296"/>
    </row>
    <row r="17" spans="1:20" ht="22" customHeight="1" x14ac:dyDescent="0.35">
      <c r="A17" s="116"/>
      <c r="B17" s="272" t="s">
        <v>553</v>
      </c>
      <c r="C17" s="273"/>
      <c r="D17" s="273"/>
      <c r="E17" s="273"/>
      <c r="F17" s="274"/>
      <c r="G17" s="116"/>
      <c r="H17" s="287" t="s">
        <v>555</v>
      </c>
      <c r="I17" s="288"/>
      <c r="J17" s="288"/>
      <c r="K17" s="288"/>
      <c r="L17" s="289"/>
      <c r="M17" s="116"/>
      <c r="N17" s="116"/>
      <c r="O17" s="295"/>
      <c r="P17" s="179"/>
      <c r="Q17" s="179"/>
      <c r="R17" s="179"/>
      <c r="S17" s="179"/>
      <c r="T17" s="296"/>
    </row>
    <row r="18" spans="1:20" ht="22" customHeight="1" x14ac:dyDescent="0.3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295"/>
      <c r="P18" s="179"/>
      <c r="Q18" s="179"/>
      <c r="R18" s="179"/>
      <c r="S18" s="179"/>
      <c r="T18" s="296"/>
    </row>
    <row r="19" spans="1:20" ht="22" customHeight="1" x14ac:dyDescent="0.35">
      <c r="A19" s="116"/>
      <c r="B19" s="292" t="s">
        <v>528</v>
      </c>
      <c r="C19" s="293"/>
      <c r="D19" s="293"/>
      <c r="E19" s="293"/>
      <c r="F19" s="293"/>
      <c r="G19" s="116"/>
      <c r="H19" s="292" t="s">
        <v>527</v>
      </c>
      <c r="I19" s="293"/>
      <c r="J19" s="293"/>
      <c r="K19" s="293"/>
      <c r="L19" s="293"/>
      <c r="M19" s="294"/>
      <c r="N19" s="116"/>
      <c r="O19" s="295"/>
      <c r="P19" s="179"/>
      <c r="Q19" s="179"/>
      <c r="R19" s="179"/>
      <c r="S19" s="179"/>
      <c r="T19" s="296"/>
    </row>
    <row r="20" spans="1:20" ht="22" customHeight="1" x14ac:dyDescent="0.35">
      <c r="A20" s="116"/>
      <c r="B20" s="295"/>
      <c r="C20" s="179"/>
      <c r="D20" s="179"/>
      <c r="E20" s="179"/>
      <c r="F20" s="179"/>
      <c r="G20" s="116"/>
      <c r="H20" s="295"/>
      <c r="I20" s="179"/>
      <c r="J20" s="179"/>
      <c r="K20" s="179"/>
      <c r="L20" s="179"/>
      <c r="M20" s="296"/>
      <c r="N20" s="116"/>
      <c r="O20" s="295"/>
      <c r="P20" s="179"/>
      <c r="Q20" s="179"/>
      <c r="R20" s="179"/>
      <c r="S20" s="179"/>
      <c r="T20" s="296"/>
    </row>
    <row r="21" spans="1:20" ht="22" customHeight="1" x14ac:dyDescent="0.35">
      <c r="A21" s="116"/>
      <c r="B21" s="295"/>
      <c r="C21" s="179"/>
      <c r="D21" s="179"/>
      <c r="E21" s="179"/>
      <c r="F21" s="179"/>
      <c r="G21" s="116"/>
      <c r="H21" s="295"/>
      <c r="I21" s="179"/>
      <c r="J21" s="179"/>
      <c r="K21" s="179"/>
      <c r="L21" s="179"/>
      <c r="M21" s="296"/>
      <c r="N21" s="116"/>
      <c r="O21" s="295"/>
      <c r="P21" s="179"/>
      <c r="Q21" s="179"/>
      <c r="R21" s="179"/>
      <c r="S21" s="179"/>
      <c r="T21" s="296"/>
    </row>
    <row r="22" spans="1:20" ht="22" customHeight="1" x14ac:dyDescent="0.35">
      <c r="A22" s="116"/>
      <c r="B22" s="295"/>
      <c r="C22" s="179"/>
      <c r="D22" s="179"/>
      <c r="E22" s="179"/>
      <c r="F22" s="179"/>
      <c r="G22" s="116"/>
      <c r="H22" s="295"/>
      <c r="I22" s="179"/>
      <c r="J22" s="179"/>
      <c r="K22" s="179"/>
      <c r="L22" s="179"/>
      <c r="M22" s="296"/>
      <c r="N22" s="116"/>
      <c r="O22" s="297"/>
      <c r="P22" s="298"/>
      <c r="Q22" s="298"/>
      <c r="R22" s="298"/>
      <c r="S22" s="298"/>
      <c r="T22" s="299"/>
    </row>
    <row r="23" spans="1:20" ht="22" customHeight="1" x14ac:dyDescent="0.35">
      <c r="A23" s="116"/>
      <c r="B23" s="295"/>
      <c r="C23" s="179"/>
      <c r="D23" s="179"/>
      <c r="E23" s="179"/>
      <c r="F23" s="179"/>
      <c r="G23" s="116"/>
      <c r="H23" s="295"/>
      <c r="I23" s="179"/>
      <c r="J23" s="179"/>
      <c r="K23" s="179"/>
      <c r="L23" s="179"/>
      <c r="M23" s="296"/>
      <c r="N23" s="116"/>
      <c r="O23" s="116"/>
      <c r="P23" s="116"/>
      <c r="Q23" s="116"/>
      <c r="R23" s="116"/>
      <c r="S23" s="116"/>
      <c r="T23" s="116"/>
    </row>
    <row r="24" spans="1:20" ht="22" customHeight="1" x14ac:dyDescent="0.35">
      <c r="A24" s="116"/>
      <c r="B24" s="295"/>
      <c r="C24" s="179"/>
      <c r="D24" s="179"/>
      <c r="E24" s="179"/>
      <c r="F24" s="179"/>
      <c r="G24" s="116"/>
      <c r="H24" s="295"/>
      <c r="I24" s="179"/>
      <c r="J24" s="179"/>
      <c r="K24" s="179"/>
      <c r="L24" s="179"/>
      <c r="M24" s="296"/>
      <c r="N24" s="116"/>
      <c r="O24" s="292" t="s">
        <v>526</v>
      </c>
      <c r="P24" s="293"/>
      <c r="Q24" s="293"/>
      <c r="R24" s="293"/>
      <c r="S24" s="293"/>
      <c r="T24" s="294"/>
    </row>
    <row r="25" spans="1:20" ht="22" customHeight="1" x14ac:dyDescent="0.35">
      <c r="A25" s="116"/>
      <c r="B25" s="295"/>
      <c r="C25" s="179"/>
      <c r="D25" s="179"/>
      <c r="E25" s="179"/>
      <c r="F25" s="179"/>
      <c r="G25" s="116"/>
      <c r="H25" s="295"/>
      <c r="I25" s="179"/>
      <c r="J25" s="179"/>
      <c r="K25" s="179"/>
      <c r="L25" s="179"/>
      <c r="M25" s="296"/>
      <c r="N25" s="116"/>
      <c r="O25" s="295"/>
      <c r="P25" s="179"/>
      <c r="Q25" s="179"/>
      <c r="R25" s="179"/>
      <c r="S25" s="179"/>
      <c r="T25" s="296"/>
    </row>
    <row r="26" spans="1:20" ht="22" customHeight="1" x14ac:dyDescent="0.35">
      <c r="A26" s="116"/>
      <c r="B26" s="295"/>
      <c r="C26" s="179"/>
      <c r="D26" s="179"/>
      <c r="E26" s="179"/>
      <c r="F26" s="179"/>
      <c r="G26" s="116"/>
      <c r="H26" s="295"/>
      <c r="I26" s="179"/>
      <c r="J26" s="179"/>
      <c r="K26" s="179"/>
      <c r="L26" s="179"/>
      <c r="M26" s="296"/>
      <c r="N26" s="116"/>
      <c r="O26" s="295"/>
      <c r="P26" s="179"/>
      <c r="Q26" s="179"/>
      <c r="R26" s="179"/>
      <c r="S26" s="179"/>
      <c r="T26" s="296"/>
    </row>
    <row r="27" spans="1:20" ht="22" customHeight="1" x14ac:dyDescent="0.35">
      <c r="A27" s="116"/>
      <c r="B27" s="295"/>
      <c r="C27" s="179"/>
      <c r="D27" s="179"/>
      <c r="E27" s="179"/>
      <c r="F27" s="179"/>
      <c r="G27" s="116"/>
      <c r="H27" s="295"/>
      <c r="I27" s="179"/>
      <c r="J27" s="179"/>
      <c r="K27" s="179"/>
      <c r="L27" s="179"/>
      <c r="M27" s="296"/>
      <c r="N27" s="116"/>
      <c r="O27" s="295"/>
      <c r="P27" s="179"/>
      <c r="Q27" s="179"/>
      <c r="R27" s="179"/>
      <c r="S27" s="179"/>
      <c r="T27" s="296"/>
    </row>
    <row r="28" spans="1:20" ht="22" customHeight="1" x14ac:dyDescent="0.35">
      <c r="A28" s="116"/>
      <c r="B28" s="295"/>
      <c r="C28" s="179"/>
      <c r="D28" s="179"/>
      <c r="E28" s="179"/>
      <c r="F28" s="179"/>
      <c r="G28" s="116"/>
      <c r="H28" s="295"/>
      <c r="I28" s="179"/>
      <c r="J28" s="179"/>
      <c r="K28" s="179"/>
      <c r="L28" s="179"/>
      <c r="M28" s="296"/>
      <c r="N28" s="116"/>
      <c r="O28" s="295"/>
      <c r="P28" s="179"/>
      <c r="Q28" s="179"/>
      <c r="R28" s="179"/>
      <c r="S28" s="179"/>
      <c r="T28" s="296"/>
    </row>
    <row r="29" spans="1:20" ht="22" customHeight="1" x14ac:dyDescent="0.35">
      <c r="A29" s="116"/>
      <c r="B29" s="297"/>
      <c r="C29" s="298"/>
      <c r="D29" s="298"/>
      <c r="E29" s="298"/>
      <c r="F29" s="298"/>
      <c r="G29" s="116"/>
      <c r="H29" s="297"/>
      <c r="I29" s="298"/>
      <c r="J29" s="298"/>
      <c r="K29" s="298"/>
      <c r="L29" s="298"/>
      <c r="M29" s="299"/>
      <c r="N29" s="116"/>
      <c r="O29" s="295"/>
      <c r="P29" s="179"/>
      <c r="Q29" s="179"/>
      <c r="R29" s="179"/>
      <c r="S29" s="179"/>
      <c r="T29" s="296"/>
    </row>
    <row r="30" spans="1:20" ht="22" customHeight="1" x14ac:dyDescent="0.3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295"/>
      <c r="P30" s="179"/>
      <c r="Q30" s="179"/>
      <c r="R30" s="179"/>
      <c r="S30" s="179"/>
      <c r="T30" s="296"/>
    </row>
    <row r="31" spans="1:20" ht="22" customHeight="1" x14ac:dyDescent="0.35">
      <c r="A31" s="116"/>
      <c r="B31" s="332" t="s">
        <v>558</v>
      </c>
      <c r="C31" s="332"/>
      <c r="D31" s="332"/>
      <c r="E31" s="332"/>
      <c r="F31" s="332"/>
      <c r="G31" s="116"/>
      <c r="H31" s="292"/>
      <c r="I31" s="293"/>
      <c r="J31" s="293"/>
      <c r="K31" s="293"/>
      <c r="L31" s="293"/>
      <c r="M31" s="294"/>
      <c r="N31" s="116"/>
      <c r="O31" s="295"/>
      <c r="P31" s="179"/>
      <c r="Q31" s="179"/>
      <c r="R31" s="179"/>
      <c r="S31" s="179"/>
      <c r="T31" s="296"/>
    </row>
    <row r="32" spans="1:20" ht="22" customHeight="1" x14ac:dyDescent="0.35">
      <c r="A32" s="116"/>
      <c r="B32" s="266" t="s">
        <v>559</v>
      </c>
      <c r="C32" s="267"/>
      <c r="D32" s="268"/>
      <c r="E32" s="269" t="s">
        <v>560</v>
      </c>
      <c r="F32" s="269"/>
      <c r="G32" s="116"/>
      <c r="H32" s="295"/>
      <c r="I32" s="179"/>
      <c r="J32" s="179"/>
      <c r="K32" s="179"/>
      <c r="L32" s="179"/>
      <c r="M32" s="296"/>
      <c r="N32" s="116"/>
      <c r="O32" s="295"/>
      <c r="P32" s="179"/>
      <c r="Q32" s="179"/>
      <c r="R32" s="179"/>
      <c r="S32" s="179"/>
      <c r="T32" s="296"/>
    </row>
    <row r="33" spans="1:31" ht="22" customHeight="1" x14ac:dyDescent="0.35">
      <c r="A33" s="140"/>
      <c r="B33" s="260" t="s">
        <v>561</v>
      </c>
      <c r="C33" s="260"/>
      <c r="D33" s="263"/>
      <c r="E33" s="259">
        <v>0.28299999999999997</v>
      </c>
      <c r="F33" s="264"/>
      <c r="G33" s="116"/>
      <c r="H33" s="295"/>
      <c r="I33" s="179"/>
      <c r="J33" s="179"/>
      <c r="K33" s="179"/>
      <c r="L33" s="179"/>
      <c r="M33" s="296"/>
      <c r="N33" s="116"/>
      <c r="O33" s="295"/>
      <c r="P33" s="179"/>
      <c r="Q33" s="179"/>
      <c r="R33" s="179"/>
      <c r="S33" s="179"/>
      <c r="T33" s="296"/>
      <c r="AA33" s="260"/>
      <c r="AB33" s="260"/>
      <c r="AC33" s="260"/>
      <c r="AD33" s="259"/>
      <c r="AE33" s="260"/>
    </row>
    <row r="34" spans="1:31" ht="22" customHeight="1" x14ac:dyDescent="0.35">
      <c r="A34" s="140"/>
      <c r="B34" s="260" t="s">
        <v>562</v>
      </c>
      <c r="C34" s="260"/>
      <c r="D34" s="263"/>
      <c r="E34" s="259">
        <v>0.39140000000000003</v>
      </c>
      <c r="F34" s="264"/>
      <c r="G34" s="116"/>
      <c r="H34" s="295"/>
      <c r="I34" s="179"/>
      <c r="J34" s="179"/>
      <c r="K34" s="179"/>
      <c r="L34" s="179"/>
      <c r="M34" s="296"/>
      <c r="N34" s="116"/>
      <c r="O34" s="297"/>
      <c r="P34" s="298"/>
      <c r="Q34" s="298"/>
      <c r="R34" s="298"/>
      <c r="S34" s="298"/>
      <c r="T34" s="299"/>
      <c r="AA34" s="260"/>
      <c r="AB34" s="260"/>
      <c r="AC34" s="260"/>
      <c r="AD34" s="259"/>
      <c r="AE34" s="260"/>
    </row>
    <row r="35" spans="1:31" ht="22" customHeight="1" x14ac:dyDescent="0.35">
      <c r="A35" s="140"/>
      <c r="B35" s="260" t="s">
        <v>563</v>
      </c>
      <c r="C35" s="260"/>
      <c r="D35" s="263"/>
      <c r="E35" s="259">
        <v>0.3574</v>
      </c>
      <c r="F35" s="264"/>
      <c r="G35" s="116"/>
      <c r="H35" s="295"/>
      <c r="I35" s="179"/>
      <c r="J35" s="179"/>
      <c r="K35" s="179"/>
      <c r="L35" s="179"/>
      <c r="M35" s="296"/>
      <c r="N35" s="116"/>
      <c r="O35" s="116"/>
      <c r="P35" s="116"/>
      <c r="Q35" s="116"/>
      <c r="R35" s="116"/>
      <c r="S35" s="116"/>
      <c r="T35" s="116"/>
      <c r="AA35" s="260"/>
      <c r="AB35" s="260"/>
      <c r="AC35" s="260"/>
      <c r="AD35" s="259"/>
      <c r="AE35" s="260"/>
    </row>
    <row r="36" spans="1:31" ht="22" customHeight="1" x14ac:dyDescent="0.35">
      <c r="A36" s="140"/>
      <c r="B36" s="260" t="s">
        <v>564</v>
      </c>
      <c r="C36" s="260"/>
      <c r="D36" s="263"/>
      <c r="E36" s="261">
        <v>-0.24729999999999999</v>
      </c>
      <c r="F36" s="265"/>
      <c r="G36" s="116"/>
      <c r="H36" s="295"/>
      <c r="I36" s="179"/>
      <c r="J36" s="179"/>
      <c r="K36" s="179"/>
      <c r="L36" s="179"/>
      <c r="M36" s="296"/>
      <c r="N36" s="116"/>
      <c r="O36" s="320" t="s">
        <v>557</v>
      </c>
      <c r="P36" s="321"/>
      <c r="Q36" s="321"/>
      <c r="R36" s="321"/>
      <c r="S36" s="321"/>
      <c r="T36" s="322"/>
      <c r="AA36" s="260"/>
      <c r="AB36" s="260"/>
      <c r="AC36" s="260"/>
      <c r="AD36" s="261"/>
      <c r="AE36" s="262"/>
    </row>
    <row r="37" spans="1:31" ht="22" customHeight="1" x14ac:dyDescent="0.35">
      <c r="A37" s="140"/>
      <c r="B37" s="260" t="s">
        <v>565</v>
      </c>
      <c r="C37" s="260"/>
      <c r="D37" s="263"/>
      <c r="E37" s="259">
        <v>0.22270000000000001</v>
      </c>
      <c r="F37" s="264"/>
      <c r="G37" s="116"/>
      <c r="H37" s="179"/>
      <c r="I37" s="179"/>
      <c r="J37" s="179"/>
      <c r="K37" s="179"/>
      <c r="L37" s="179"/>
      <c r="M37" s="296"/>
      <c r="N37" s="116"/>
      <c r="O37" s="323"/>
      <c r="P37" s="324"/>
      <c r="Q37" s="324"/>
      <c r="R37" s="324"/>
      <c r="S37" s="324"/>
      <c r="T37" s="325"/>
      <c r="AA37" s="260"/>
      <c r="AB37" s="260"/>
      <c r="AC37" s="260"/>
      <c r="AD37" s="259"/>
      <c r="AE37" s="260"/>
    </row>
    <row r="38" spans="1:31" ht="22" customHeight="1" x14ac:dyDescent="0.35">
      <c r="A38" s="140"/>
      <c r="D38" s="141"/>
      <c r="F38" s="141"/>
      <c r="G38" s="116"/>
      <c r="H38" s="295"/>
      <c r="I38" s="179"/>
      <c r="J38" s="179"/>
      <c r="K38" s="179"/>
      <c r="L38" s="179"/>
      <c r="M38" s="296"/>
      <c r="N38" s="116"/>
      <c r="O38" s="323"/>
      <c r="P38" s="324"/>
      <c r="Q38" s="324"/>
      <c r="R38" s="324"/>
      <c r="S38" s="324"/>
      <c r="T38" s="325"/>
    </row>
    <row r="39" spans="1:31" ht="22" customHeight="1" x14ac:dyDescent="0.35">
      <c r="A39" s="140"/>
      <c r="B39" s="251"/>
      <c r="C39" s="143"/>
      <c r="D39" s="143"/>
      <c r="E39" s="143"/>
      <c r="F39" s="142"/>
      <c r="G39" s="116"/>
      <c r="H39" s="295"/>
      <c r="I39" s="179"/>
      <c r="J39" s="179"/>
      <c r="K39" s="179"/>
      <c r="L39" s="179"/>
      <c r="M39" s="296"/>
      <c r="N39" s="116"/>
      <c r="O39" s="323"/>
      <c r="P39" s="324"/>
      <c r="Q39" s="324"/>
      <c r="R39" s="324"/>
      <c r="S39" s="324"/>
      <c r="T39" s="325"/>
    </row>
    <row r="40" spans="1:31" ht="22" customHeight="1" x14ac:dyDescent="0.35">
      <c r="A40" s="140"/>
      <c r="B40" s="252"/>
      <c r="C40" s="144"/>
      <c r="D40" s="144"/>
      <c r="E40" s="144"/>
      <c r="F40" s="145"/>
      <c r="G40" s="116"/>
      <c r="H40" s="297"/>
      <c r="I40" s="298"/>
      <c r="J40" s="298"/>
      <c r="K40" s="298"/>
      <c r="L40" s="298"/>
      <c r="M40" s="299"/>
      <c r="N40" s="116"/>
      <c r="O40" s="326"/>
      <c r="P40" s="327"/>
      <c r="Q40" s="327"/>
      <c r="R40" s="327"/>
      <c r="S40" s="327"/>
      <c r="T40" s="328"/>
    </row>
    <row r="41" spans="1:31" ht="22" customHeight="1" x14ac:dyDescent="0.3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</row>
    <row r="42" spans="1:31" ht="22" customHeight="1" x14ac:dyDescent="0.35">
      <c r="A42" s="116"/>
      <c r="B42" s="317" t="s">
        <v>525</v>
      </c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16"/>
      <c r="O42" s="312" t="s">
        <v>524</v>
      </c>
      <c r="P42" s="179"/>
      <c r="Q42" s="179"/>
      <c r="R42" s="329" t="s">
        <v>523</v>
      </c>
      <c r="S42" s="330"/>
      <c r="T42" s="330"/>
    </row>
    <row r="43" spans="1:31" ht="22" customHeight="1" x14ac:dyDescent="0.35">
      <c r="A43" s="116"/>
      <c r="B43" s="318" t="s">
        <v>556</v>
      </c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16"/>
      <c r="O43" s="313" t="s">
        <v>566</v>
      </c>
      <c r="P43" s="179"/>
      <c r="Q43" s="179"/>
      <c r="R43" s="146"/>
      <c r="S43" s="255" t="s">
        <v>567</v>
      </c>
      <c r="T43" s="256"/>
    </row>
    <row r="44" spans="1:31" ht="22" customHeight="1" x14ac:dyDescent="0.35">
      <c r="A44" s="116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16"/>
      <c r="O44" s="314"/>
      <c r="P44" s="179"/>
      <c r="Q44" s="179"/>
      <c r="R44" s="253"/>
      <c r="S44" s="255"/>
      <c r="T44" s="256"/>
    </row>
    <row r="45" spans="1:31" ht="22" customHeight="1" x14ac:dyDescent="0.35">
      <c r="A45" s="11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16"/>
      <c r="O45" s="314"/>
      <c r="P45" s="179"/>
      <c r="Q45" s="179"/>
      <c r="R45" s="253"/>
      <c r="S45" s="255"/>
      <c r="T45" s="256"/>
    </row>
    <row r="46" spans="1:31" ht="22" customHeight="1" x14ac:dyDescent="0.35">
      <c r="A46" s="116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16"/>
      <c r="O46" s="314"/>
      <c r="P46" s="179"/>
      <c r="Q46" s="179"/>
      <c r="R46" s="253"/>
      <c r="S46" s="255"/>
      <c r="T46" s="256"/>
    </row>
    <row r="47" spans="1:31" ht="22" customHeight="1" x14ac:dyDescent="0.35">
      <c r="A47" s="116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16"/>
      <c r="O47" s="314"/>
      <c r="P47" s="179"/>
      <c r="Q47" s="179"/>
      <c r="R47" s="253"/>
      <c r="S47" s="255"/>
      <c r="T47" s="256"/>
    </row>
    <row r="48" spans="1:31" ht="22" customHeight="1" x14ac:dyDescent="0.35">
      <c r="A48" s="116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16"/>
      <c r="O48" s="314"/>
      <c r="P48" s="179"/>
      <c r="Q48" s="179"/>
      <c r="R48" s="253"/>
      <c r="S48" s="255"/>
      <c r="T48" s="256"/>
    </row>
    <row r="49" spans="1:20" ht="27.5" customHeight="1" x14ac:dyDescent="0.35">
      <c r="A49" s="116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16"/>
      <c r="O49" s="315"/>
      <c r="P49" s="316"/>
      <c r="Q49" s="316"/>
      <c r="R49" s="254"/>
      <c r="S49" s="257"/>
      <c r="T49" s="258"/>
    </row>
    <row r="50" spans="1:20" ht="22" customHeight="1" x14ac:dyDescent="0.35">
      <c r="A50" s="116"/>
      <c r="B50" s="319" t="s">
        <v>568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</row>
    <row r="51" spans="1:20" ht="22" customHeight="1" x14ac:dyDescent="0.35">
      <c r="A51" s="116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</row>
    <row r="52" spans="1:20" ht="22" customHeight="1" x14ac:dyDescent="0.35">
      <c r="A52" s="116"/>
      <c r="B52" s="310" t="s">
        <v>522</v>
      </c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</row>
    <row r="53" spans="1:20" ht="22" customHeight="1" x14ac:dyDescent="0.35">
      <c r="A53" s="116"/>
    </row>
    <row r="54" spans="1:20" ht="22" customHeight="1" x14ac:dyDescent="0.3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</row>
    <row r="55" spans="1:20" ht="22" customHeight="1" x14ac:dyDescent="0.35">
      <c r="A55" s="116"/>
    </row>
    <row r="56" spans="1:20" ht="22" customHeight="1" x14ac:dyDescent="0.3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</row>
    <row r="57" spans="1:20" ht="22" customHeight="1" x14ac:dyDescent="0.3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</row>
    <row r="58" spans="1:20" ht="22" customHeight="1" x14ac:dyDescent="0.3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</row>
    <row r="59" spans="1:20" ht="22" customHeight="1" x14ac:dyDescent="0.3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</row>
    <row r="60" spans="1:20" ht="22" customHeight="1" x14ac:dyDescent="0.3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</row>
    <row r="61" spans="1:20" ht="22" customHeight="1" x14ac:dyDescent="0.3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</row>
    <row r="62" spans="1:20" ht="22" customHeight="1" x14ac:dyDescent="0.3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</row>
    <row r="63" spans="1:20" ht="22" customHeight="1" x14ac:dyDescent="0.3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</row>
    <row r="64" spans="1:20" ht="22" customHeight="1" x14ac:dyDescent="0.3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</row>
    <row r="65" spans="1:1" ht="22" customHeight="1" x14ac:dyDescent="0.35">
      <c r="A65" s="116"/>
    </row>
    <row r="66" spans="1:1" ht="22" customHeight="1" x14ac:dyDescent="0.35">
      <c r="A66" s="116"/>
    </row>
    <row r="67" spans="1:1" ht="22" customHeight="1" x14ac:dyDescent="0.35">
      <c r="A67" s="116"/>
    </row>
    <row r="68" spans="1:1" ht="22" customHeight="1" x14ac:dyDescent="0.35">
      <c r="A68" s="116"/>
    </row>
    <row r="69" spans="1:1" ht="22" customHeight="1" x14ac:dyDescent="0.35">
      <c r="A69" s="116"/>
    </row>
    <row r="70" spans="1:1" ht="22" customHeight="1" x14ac:dyDescent="0.35">
      <c r="A70" s="116"/>
    </row>
    <row r="71" spans="1:1" ht="22" customHeight="1" x14ac:dyDescent="0.35">
      <c r="A71" s="116"/>
    </row>
    <row r="72" spans="1:1" ht="22" customHeight="1" x14ac:dyDescent="0.35">
      <c r="A72" s="116"/>
    </row>
    <row r="73" spans="1:1" ht="22" customHeight="1" x14ac:dyDescent="0.35">
      <c r="A73" s="116"/>
    </row>
    <row r="74" spans="1:1" ht="22" customHeight="1" x14ac:dyDescent="0.35">
      <c r="A74" s="116"/>
    </row>
    <row r="75" spans="1:1" ht="22" customHeight="1" x14ac:dyDescent="0.35">
      <c r="A75" s="116"/>
    </row>
    <row r="76" spans="1:1" ht="22" customHeight="1" x14ac:dyDescent="0.35">
      <c r="A76" s="116"/>
    </row>
    <row r="77" spans="1:1" ht="22" customHeight="1" x14ac:dyDescent="0.35">
      <c r="A77" s="116"/>
    </row>
    <row r="78" spans="1:1" ht="22" customHeight="1" x14ac:dyDescent="0.35">
      <c r="A78" s="116"/>
    </row>
    <row r="79" spans="1:1" ht="22" customHeight="1" x14ac:dyDescent="0.35">
      <c r="A79" s="116"/>
    </row>
  </sheetData>
  <mergeCells count="71">
    <mergeCell ref="B52:T52"/>
    <mergeCell ref="B8:T8"/>
    <mergeCell ref="O42:Q42"/>
    <mergeCell ref="B19:F29"/>
    <mergeCell ref="H31:M40"/>
    <mergeCell ref="O43:Q49"/>
    <mergeCell ref="B42:M42"/>
    <mergeCell ref="B43:M49"/>
    <mergeCell ref="B50:T51"/>
    <mergeCell ref="O36:T40"/>
    <mergeCell ref="R42:T42"/>
    <mergeCell ref="B10:E10"/>
    <mergeCell ref="B11:E11"/>
    <mergeCell ref="B31:F31"/>
    <mergeCell ref="F12:I12"/>
    <mergeCell ref="J12:M12"/>
    <mergeCell ref="H7:M7"/>
    <mergeCell ref="H19:M29"/>
    <mergeCell ref="O24:T34"/>
    <mergeCell ref="J11:M11"/>
    <mergeCell ref="N10:Q10"/>
    <mergeCell ref="N11:Q11"/>
    <mergeCell ref="O13:T22"/>
    <mergeCell ref="O1:T7"/>
    <mergeCell ref="G2:M6"/>
    <mergeCell ref="F10:I10"/>
    <mergeCell ref="F11:I11"/>
    <mergeCell ref="J10:M10"/>
    <mergeCell ref="B5:F6"/>
    <mergeCell ref="R10:T10"/>
    <mergeCell ref="R11:T11"/>
    <mergeCell ref="B12:E12"/>
    <mergeCell ref="N12:Q12"/>
    <mergeCell ref="R12:T12"/>
    <mergeCell ref="B17:F17"/>
    <mergeCell ref="B13:F13"/>
    <mergeCell ref="B14:C14"/>
    <mergeCell ref="D14:F14"/>
    <mergeCell ref="B15:C15"/>
    <mergeCell ref="D15:F15"/>
    <mergeCell ref="B16:C16"/>
    <mergeCell ref="D16:F16"/>
    <mergeCell ref="H13:L13"/>
    <mergeCell ref="H14:L15"/>
    <mergeCell ref="H16:L16"/>
    <mergeCell ref="H17:L17"/>
    <mergeCell ref="E34:F34"/>
    <mergeCell ref="E35:F35"/>
    <mergeCell ref="E36:F36"/>
    <mergeCell ref="E37:F37"/>
    <mergeCell ref="B32:D32"/>
    <mergeCell ref="E32:F32"/>
    <mergeCell ref="B33:D33"/>
    <mergeCell ref="B34:D34"/>
    <mergeCell ref="B35:D35"/>
    <mergeCell ref="B39:B40"/>
    <mergeCell ref="R44:R49"/>
    <mergeCell ref="S43:T49"/>
    <mergeCell ref="AD33:AE33"/>
    <mergeCell ref="AD34:AE34"/>
    <mergeCell ref="AD35:AE35"/>
    <mergeCell ref="AD36:AE36"/>
    <mergeCell ref="AD37:AE37"/>
    <mergeCell ref="AA33:AC33"/>
    <mergeCell ref="AA34:AC34"/>
    <mergeCell ref="AA35:AC35"/>
    <mergeCell ref="AA36:AC36"/>
    <mergeCell ref="AA37:AC37"/>
    <mergeCell ref="B36:D36"/>
    <mergeCell ref="B37:D37"/>
    <mergeCell ref="E33:F33"/>
  </mergeCells>
  <phoneticPr fontId="86" type="noConversion"/>
  <pageMargins left="0.2" right="0.2" top="0.3" bottom="0.3" header="0.1" footer="0.1"/>
  <pageSetup paperSize="8" scale="80" fitToHeight="0" orientation="landscape" r:id="rId1"/>
  <headerFooter>
    <oddFooter>&amp;CDMart Financial Analysis Dashboard&amp;RPage 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069-0AEA-44AF-BCDE-4EE5C8AA9656}">
  <dimension ref="A1:N39"/>
  <sheetViews>
    <sheetView topLeftCell="A28" zoomScale="110" zoomScaleNormal="120" workbookViewId="0">
      <selection activeCell="H35" sqref="H35:J38"/>
    </sheetView>
  </sheetViews>
  <sheetFormatPr defaultRowHeight="14.5" x14ac:dyDescent="0.35"/>
  <cols>
    <col min="1" max="1" width="21.26953125" customWidth="1"/>
    <col min="2" max="2" width="16.1796875" customWidth="1"/>
    <col min="3" max="3" width="17.54296875" customWidth="1"/>
    <col min="4" max="4" width="8.7265625" style="117" customWidth="1"/>
    <col min="5" max="5" width="8.7265625" style="130"/>
    <col min="6" max="6" width="10.90625" style="130" customWidth="1"/>
    <col min="9" max="9" width="9.6328125" customWidth="1"/>
    <col min="10" max="10" width="9.81640625" customWidth="1"/>
  </cols>
  <sheetData>
    <row r="1" spans="1:10" x14ac:dyDescent="0.35">
      <c r="A1" s="122" t="s">
        <v>531</v>
      </c>
      <c r="B1" s="117" t="s">
        <v>532</v>
      </c>
      <c r="C1" s="117" t="s">
        <v>326</v>
      </c>
      <c r="D1" s="117" t="s">
        <v>327</v>
      </c>
      <c r="E1" s="130" t="s">
        <v>328</v>
      </c>
      <c r="F1" s="130" t="s">
        <v>329</v>
      </c>
      <c r="H1" s="138" t="s">
        <v>326</v>
      </c>
      <c r="I1" s="139" t="s">
        <v>327</v>
      </c>
      <c r="J1" s="139" t="s">
        <v>328</v>
      </c>
    </row>
    <row r="2" spans="1:10" ht="29" x14ac:dyDescent="0.35">
      <c r="A2" s="121" t="s">
        <v>533</v>
      </c>
      <c r="B2" s="121" t="s">
        <v>534</v>
      </c>
      <c r="C2" s="121" t="s">
        <v>330</v>
      </c>
      <c r="D2" s="126">
        <f>'Revenue &amp; Profitability'!C4</f>
        <v>24143.06</v>
      </c>
      <c r="E2" s="126">
        <f>'Revenue &amp; Profitability'!D4</f>
        <v>30976.27</v>
      </c>
      <c r="F2" s="131">
        <f>'Revenue &amp; Profitability'!E4</f>
        <v>0.28302998874210639</v>
      </c>
      <c r="H2" s="121" t="s">
        <v>543</v>
      </c>
      <c r="I2" s="134">
        <f>D2</f>
        <v>24143.06</v>
      </c>
      <c r="J2" s="134">
        <v>30976.27</v>
      </c>
    </row>
    <row r="3" spans="1:10" x14ac:dyDescent="0.35">
      <c r="A3" s="121" t="s">
        <v>533</v>
      </c>
      <c r="B3" s="121" t="s">
        <v>534</v>
      </c>
      <c r="C3" s="121" t="s">
        <v>332</v>
      </c>
      <c r="D3" s="127">
        <f>'Revenue &amp; Profitability'!C6</f>
        <v>24339.27</v>
      </c>
      <c r="E3" s="126">
        <f>'Revenue &amp; Profitability'!D6</f>
        <v>31093.759999999998</v>
      </c>
      <c r="F3" s="131">
        <f>'Revenue &amp; Profitability'!E6</f>
        <v>0.27751407499074532</v>
      </c>
      <c r="H3" s="121" t="s">
        <v>544</v>
      </c>
      <c r="I3" s="134">
        <v>1483.45</v>
      </c>
      <c r="J3" s="134">
        <v>2064.12</v>
      </c>
    </row>
    <row r="4" spans="1:10" x14ac:dyDescent="0.35">
      <c r="A4" s="121" t="s">
        <v>533</v>
      </c>
      <c r="B4" s="121" t="s">
        <v>535</v>
      </c>
      <c r="C4" s="121" t="s">
        <v>333</v>
      </c>
      <c r="D4" s="127">
        <f>'Revenue &amp; Profitability'!H5</f>
        <v>1483.45</v>
      </c>
      <c r="E4" s="126">
        <f>'Revenue &amp; Profitability'!I5</f>
        <v>2064.12</v>
      </c>
      <c r="F4" s="131">
        <f>'Revenue &amp; Profitability'!J5</f>
        <v>0.39143213455121495</v>
      </c>
      <c r="H4" s="121" t="s">
        <v>545</v>
      </c>
      <c r="I4" s="134">
        <v>1099.43</v>
      </c>
      <c r="J4" s="134">
        <v>1492.4</v>
      </c>
    </row>
    <row r="5" spans="1:10" x14ac:dyDescent="0.35">
      <c r="A5" s="121" t="s">
        <v>533</v>
      </c>
      <c r="B5" s="121" t="s">
        <v>535</v>
      </c>
      <c r="C5" s="121" t="s">
        <v>334</v>
      </c>
      <c r="D5" s="127">
        <f>'Revenue &amp; Profitability'!H6</f>
        <v>1099.43</v>
      </c>
      <c r="E5" s="126">
        <f>'Revenue &amp; Profitability'!I6</f>
        <v>1492.4</v>
      </c>
      <c r="F5" s="131">
        <f>'Revenue &amp; Profitability'!J6</f>
        <v>0.35743066861919359</v>
      </c>
    </row>
    <row r="6" spans="1:10" x14ac:dyDescent="0.35">
      <c r="A6" s="121" t="s">
        <v>533</v>
      </c>
      <c r="B6" s="121" t="s">
        <v>535</v>
      </c>
      <c r="C6" s="121" t="s">
        <v>335</v>
      </c>
      <c r="D6" s="128">
        <f>'Revenue &amp; Profitability'!H7</f>
        <v>6.1444158279853507E-2</v>
      </c>
      <c r="E6" s="131">
        <f>'Revenue &amp; Profitability'!I7</f>
        <v>6.6635524548307457E-2</v>
      </c>
      <c r="F6" s="131">
        <f>'Revenue &amp; Profitability'!J7</f>
        <v>8.4489175436489136E-2</v>
      </c>
      <c r="H6" s="138" t="s">
        <v>326</v>
      </c>
      <c r="I6" s="139" t="s">
        <v>327</v>
      </c>
      <c r="J6" s="139" t="s">
        <v>328</v>
      </c>
    </row>
    <row r="7" spans="1:10" ht="43.5" x14ac:dyDescent="0.35">
      <c r="A7" s="121" t="s">
        <v>533</v>
      </c>
      <c r="B7" s="121" t="s">
        <v>535</v>
      </c>
      <c r="C7" t="s">
        <v>336</v>
      </c>
      <c r="D7" s="128">
        <f>'Revenue &amp; Profitability'!H8</f>
        <v>4.5538138081916708E-2</v>
      </c>
      <c r="E7" s="131">
        <f>'Revenue &amp; Profitability'!I8</f>
        <v>4.8178815590127544E-2</v>
      </c>
      <c r="F7" s="131">
        <f>'Revenue &amp; Profitability'!J8</f>
        <v>5.7988262573683357E-2</v>
      </c>
      <c r="H7" s="121" t="s">
        <v>367</v>
      </c>
      <c r="I7" s="135">
        <v>0.14860000000000001</v>
      </c>
      <c r="J7" s="135">
        <v>0.14779999999999999</v>
      </c>
    </row>
    <row r="8" spans="1:10" ht="29" x14ac:dyDescent="0.35">
      <c r="A8" s="121" t="s">
        <v>536</v>
      </c>
      <c r="B8" s="121" t="s">
        <v>537</v>
      </c>
      <c r="C8" s="121" t="s">
        <v>477</v>
      </c>
      <c r="D8" s="127" t="str">
        <f>'Balance Sheet Analysis'!C4</f>
        <v>13,655.97</v>
      </c>
      <c r="E8" s="126" t="str">
        <f>'Balance Sheet Analysis'!D4</f>
        <v>15,472.64</v>
      </c>
      <c r="F8" s="131">
        <f>'Balance Sheet Analysis'!E4</f>
        <v>0.13303119441533631</v>
      </c>
      <c r="H8" s="121" t="s">
        <v>335</v>
      </c>
      <c r="I8" s="135">
        <v>6.1400000000000003E-2</v>
      </c>
      <c r="J8" s="135">
        <v>6.6600000000000006E-2</v>
      </c>
    </row>
    <row r="9" spans="1:10" ht="29" x14ac:dyDescent="0.35">
      <c r="A9" s="121" t="s">
        <v>536</v>
      </c>
      <c r="B9" s="121" t="s">
        <v>537</v>
      </c>
      <c r="C9" s="121" t="s">
        <v>476</v>
      </c>
      <c r="D9" s="127" t="str">
        <f>'Balance Sheet Analysis'!C5</f>
        <v>12,184.11</v>
      </c>
      <c r="E9" s="126" t="str">
        <f>'Balance Sheet Analysis'!D5</f>
        <v>13,677.89</v>
      </c>
      <c r="F9" s="131">
        <f>'Balance Sheet Analysis'!E5</f>
        <v>0.12260066594933883</v>
      </c>
      <c r="H9" s="121" t="s">
        <v>336</v>
      </c>
      <c r="I9" s="125">
        <v>4.5499999999999999E-2</v>
      </c>
      <c r="J9" s="125">
        <v>4.82E-2</v>
      </c>
    </row>
    <row r="10" spans="1:10" x14ac:dyDescent="0.35">
      <c r="A10" s="121" t="s">
        <v>536</v>
      </c>
      <c r="B10" s="121" t="s">
        <v>460</v>
      </c>
      <c r="C10" s="121" t="s">
        <v>474</v>
      </c>
      <c r="D10" s="127" t="str">
        <f>'Balance Sheet Analysis'!C7</f>
        <v>4,061.13</v>
      </c>
      <c r="E10" s="126" t="str">
        <f>'Balance Sheet Analysis'!D7</f>
        <v>3,442.85</v>
      </c>
      <c r="F10" s="131">
        <f>'Balance Sheet Analysis'!E7</f>
        <v>-0.15224334113904262</v>
      </c>
    </row>
    <row r="11" spans="1:10" x14ac:dyDescent="0.35">
      <c r="A11" s="121" t="s">
        <v>536</v>
      </c>
      <c r="B11" s="121" t="s">
        <v>460</v>
      </c>
      <c r="C11" s="121" t="s">
        <v>473</v>
      </c>
      <c r="D11" s="127">
        <f>'Balance Sheet Analysis'!C8</f>
        <v>1105.77</v>
      </c>
      <c r="E11" s="126" t="str">
        <f>'Balance Sheet Analysis'!D8</f>
        <v>1,218.29</v>
      </c>
      <c r="F11" s="131">
        <f>'Balance Sheet Analysis'!E8</f>
        <v>0.10175714660372409</v>
      </c>
      <c r="H11" s="136" t="s">
        <v>326</v>
      </c>
      <c r="I11" s="136" t="s">
        <v>327</v>
      </c>
      <c r="J11" s="136" t="s">
        <v>328</v>
      </c>
    </row>
    <row r="12" spans="1:10" ht="43.5" x14ac:dyDescent="0.35">
      <c r="A12" s="121" t="s">
        <v>536</v>
      </c>
      <c r="B12" s="121" t="s">
        <v>460</v>
      </c>
      <c r="C12" s="121" t="s">
        <v>472</v>
      </c>
      <c r="D12" s="127" t="str">
        <f>'Balance Sheet Analysis'!C9</f>
        <v>191.50</v>
      </c>
      <c r="E12" s="126" t="str">
        <f>'Balance Sheet Analysis'!D9</f>
        <v>95.12</v>
      </c>
      <c r="F12" s="131">
        <f>'Balance Sheet Analysis'!E9</f>
        <v>-0.50328981723237598</v>
      </c>
      <c r="H12" s="121" t="s">
        <v>490</v>
      </c>
      <c r="I12" s="137">
        <v>1375.14</v>
      </c>
      <c r="J12" s="137">
        <v>1372.35</v>
      </c>
    </row>
    <row r="13" spans="1:10" ht="43.5" x14ac:dyDescent="0.35">
      <c r="A13" s="121" t="s">
        <v>536</v>
      </c>
      <c r="B13" s="121" t="s">
        <v>538</v>
      </c>
      <c r="C13" s="121" t="s">
        <v>47</v>
      </c>
      <c r="D13" s="127" t="str">
        <f>'Balance Sheet Analysis'!C10</f>
        <v>2,248.28</v>
      </c>
      <c r="E13" s="126" t="str">
        <f>'Balance Sheet Analysis'!D10</f>
        <v>2,742.66</v>
      </c>
      <c r="F13" s="131">
        <f>'Balance Sheet Analysis'!E10</f>
        <v>0.21989254007507944</v>
      </c>
      <c r="H13" s="121" t="s">
        <v>488</v>
      </c>
      <c r="I13" s="137">
        <v>-1110</v>
      </c>
      <c r="J13" s="137">
        <v>-1289.49</v>
      </c>
    </row>
    <row r="14" spans="1:10" ht="43.5" x14ac:dyDescent="0.35">
      <c r="A14" s="121" t="s">
        <v>536</v>
      </c>
      <c r="B14" s="121" t="s">
        <v>538</v>
      </c>
      <c r="C14" s="121" t="s">
        <v>469</v>
      </c>
      <c r="D14" s="127">
        <f>'Balance Sheet Analysis'!C11</f>
        <v>43.58</v>
      </c>
      <c r="E14" s="126">
        <f>'Balance Sheet Analysis'!D11</f>
        <v>66.89</v>
      </c>
      <c r="F14" s="131">
        <f>'Balance Sheet Analysis'!E11</f>
        <v>0.53487838458008263</v>
      </c>
      <c r="H14" s="121" t="s">
        <v>486</v>
      </c>
      <c r="I14" s="121">
        <v>-179.5</v>
      </c>
      <c r="J14" s="121">
        <v>-179.24</v>
      </c>
    </row>
    <row r="15" spans="1:10" ht="29" x14ac:dyDescent="0.35">
      <c r="A15" s="121" t="s">
        <v>539</v>
      </c>
      <c r="B15" s="121" t="s">
        <v>539</v>
      </c>
      <c r="C15" s="121" t="s">
        <v>490</v>
      </c>
      <c r="D15" s="127">
        <v>1375.14</v>
      </c>
      <c r="E15" s="130" t="s">
        <v>283</v>
      </c>
      <c r="F15" s="131">
        <f>(E15-D15)/D15</f>
        <v>-2.028884331777267E-3</v>
      </c>
    </row>
    <row r="16" spans="1:10" x14ac:dyDescent="0.35">
      <c r="A16" s="121" t="s">
        <v>539</v>
      </c>
      <c r="B16" s="121" t="s">
        <v>539</v>
      </c>
      <c r="C16" s="121" t="s">
        <v>488</v>
      </c>
      <c r="D16" s="127">
        <v>-1110</v>
      </c>
      <c r="E16" s="130" t="s">
        <v>305</v>
      </c>
      <c r="F16" s="131">
        <v>-0.16170270270270271</v>
      </c>
      <c r="H16" s="136" t="s">
        <v>326</v>
      </c>
      <c r="I16" s="136" t="s">
        <v>327</v>
      </c>
      <c r="J16" s="136" t="s">
        <v>328</v>
      </c>
    </row>
    <row r="17" spans="1:14" ht="29" x14ac:dyDescent="0.35">
      <c r="A17" s="121" t="s">
        <v>539</v>
      </c>
      <c r="B17" s="121" t="s">
        <v>539</v>
      </c>
      <c r="C17" s="121" t="s">
        <v>486</v>
      </c>
      <c r="D17" s="117">
        <v>-179.5</v>
      </c>
      <c r="E17" s="130" t="s">
        <v>348</v>
      </c>
      <c r="F17" s="131">
        <v>1.4484679665737654E-3</v>
      </c>
      <c r="H17" s="121" t="s">
        <v>454</v>
      </c>
      <c r="I17" s="134">
        <v>2248.2800000000002</v>
      </c>
      <c r="J17" s="134">
        <v>2742.66</v>
      </c>
    </row>
    <row r="18" spans="1:14" ht="43.5" x14ac:dyDescent="0.35">
      <c r="A18" s="121" t="s">
        <v>539</v>
      </c>
      <c r="B18" s="121" t="s">
        <v>539</v>
      </c>
      <c r="C18" s="121" t="s">
        <v>484</v>
      </c>
      <c r="D18" s="117">
        <v>85.64</v>
      </c>
      <c r="E18" s="130" t="s">
        <v>351</v>
      </c>
      <c r="F18" s="132">
        <v>-2.1254</v>
      </c>
      <c r="H18" s="121" t="s">
        <v>469</v>
      </c>
      <c r="I18" s="133">
        <v>43.58</v>
      </c>
      <c r="J18" s="133">
        <v>66.89</v>
      </c>
    </row>
    <row r="19" spans="1:14" ht="29" x14ac:dyDescent="0.35">
      <c r="A19" s="121" t="s">
        <v>538</v>
      </c>
      <c r="B19" s="121" t="s">
        <v>538</v>
      </c>
      <c r="C19" s="121" t="s">
        <v>454</v>
      </c>
      <c r="D19" s="127">
        <v>2248.2800000000002</v>
      </c>
      <c r="E19" s="130" t="s">
        <v>48</v>
      </c>
      <c r="F19" s="131">
        <v>0.21989254007507944</v>
      </c>
      <c r="H19" s="121" t="s">
        <v>508</v>
      </c>
      <c r="I19" s="133">
        <v>578.13</v>
      </c>
      <c r="J19" s="133">
        <v>589.20000000000005</v>
      </c>
    </row>
    <row r="20" spans="1:14" x14ac:dyDescent="0.35">
      <c r="A20" s="121" t="s">
        <v>538</v>
      </c>
      <c r="B20" s="121" t="s">
        <v>538</v>
      </c>
      <c r="C20" s="121" t="s">
        <v>469</v>
      </c>
      <c r="D20" s="117">
        <v>43.58</v>
      </c>
      <c r="E20" s="130">
        <v>66.89</v>
      </c>
      <c r="F20" s="131">
        <v>0.53487838458008263</v>
      </c>
    </row>
    <row r="21" spans="1:14" x14ac:dyDescent="0.35">
      <c r="A21" s="121" t="s">
        <v>538</v>
      </c>
      <c r="B21" s="121" t="s">
        <v>538</v>
      </c>
      <c r="C21" s="121" t="s">
        <v>508</v>
      </c>
      <c r="D21" s="117">
        <v>578.13</v>
      </c>
      <c r="E21" s="130">
        <v>589.19999999999993</v>
      </c>
      <c r="F21" s="131">
        <v>1.9147942504280934E-2</v>
      </c>
      <c r="H21" s="136" t="s">
        <v>326</v>
      </c>
      <c r="I21" s="139" t="s">
        <v>327</v>
      </c>
      <c r="J21" s="139" t="s">
        <v>328</v>
      </c>
    </row>
    <row r="22" spans="1:14" ht="29" x14ac:dyDescent="0.35">
      <c r="A22" s="121" t="s">
        <v>538</v>
      </c>
      <c r="B22" s="121" t="s">
        <v>538</v>
      </c>
      <c r="C22" s="121" t="s">
        <v>540</v>
      </c>
      <c r="D22" s="123">
        <v>2955.36</v>
      </c>
      <c r="E22" s="123">
        <v>2224.56</v>
      </c>
      <c r="F22" s="124">
        <v>-0.24727951924638628</v>
      </c>
      <c r="H22" s="121" t="s">
        <v>361</v>
      </c>
      <c r="I22" s="133">
        <v>3.6726999999999999</v>
      </c>
      <c r="J22" s="133">
        <v>2.8260000000000001</v>
      </c>
    </row>
    <row r="23" spans="1:14" ht="29" x14ac:dyDescent="0.35">
      <c r="A23" s="121" t="s">
        <v>390</v>
      </c>
      <c r="B23" s="121" t="s">
        <v>460</v>
      </c>
      <c r="C23" s="121" t="s">
        <v>361</v>
      </c>
      <c r="D23" s="120">
        <v>3.6726999999999999</v>
      </c>
      <c r="E23" s="120">
        <v>2.8260000000000001</v>
      </c>
      <c r="F23" s="129">
        <v>-0.23050000000000001</v>
      </c>
      <c r="H23" s="121" t="s">
        <v>363</v>
      </c>
      <c r="I23" s="133">
        <v>1.6394</v>
      </c>
      <c r="J23" s="133">
        <v>0.57469999999999999</v>
      </c>
    </row>
    <row r="24" spans="1:14" ht="29" x14ac:dyDescent="0.35">
      <c r="A24" s="121" t="s">
        <v>390</v>
      </c>
      <c r="B24" s="121" t="s">
        <v>460</v>
      </c>
      <c r="C24" s="121" t="s">
        <v>363</v>
      </c>
      <c r="D24" s="120">
        <v>1.6394</v>
      </c>
      <c r="E24" s="120">
        <v>0.57469999999999999</v>
      </c>
      <c r="F24" s="129">
        <v>-0.64939999999999998</v>
      </c>
      <c r="H24" s="121" t="s">
        <v>364</v>
      </c>
      <c r="I24" s="133">
        <v>0.17319999999999999</v>
      </c>
      <c r="J24" s="133">
        <v>7.8100000000000003E-2</v>
      </c>
    </row>
    <row r="25" spans="1:14" x14ac:dyDescent="0.35">
      <c r="A25" s="121" t="s">
        <v>390</v>
      </c>
      <c r="B25" s="121" t="s">
        <v>460</v>
      </c>
      <c r="C25" s="121" t="s">
        <v>364</v>
      </c>
      <c r="D25" s="120">
        <v>0.17319999999999999</v>
      </c>
      <c r="E25" s="120">
        <v>7.8100000000000003E-2</v>
      </c>
      <c r="F25" s="129">
        <v>-0.54920000000000002</v>
      </c>
      <c r="K25" s="121"/>
      <c r="L25" s="121"/>
      <c r="M25" s="125"/>
    </row>
    <row r="26" spans="1:14" x14ac:dyDescent="0.35">
      <c r="A26" s="121" t="s">
        <v>390</v>
      </c>
      <c r="B26" s="121" t="s">
        <v>535</v>
      </c>
      <c r="C26" s="121" t="s">
        <v>367</v>
      </c>
      <c r="D26" s="129">
        <v>0.14860000000000001</v>
      </c>
      <c r="E26" s="129">
        <v>0.14779999999999999</v>
      </c>
      <c r="F26" s="129">
        <v>-5.4999999999999997E-3</v>
      </c>
      <c r="H26" s="136" t="s">
        <v>326</v>
      </c>
      <c r="I26" s="139" t="s">
        <v>327</v>
      </c>
      <c r="J26" s="139" t="s">
        <v>328</v>
      </c>
      <c r="K26" s="121"/>
      <c r="L26" s="121"/>
      <c r="M26" s="121"/>
      <c r="N26" s="125"/>
    </row>
    <row r="27" spans="1:14" ht="43.5" x14ac:dyDescent="0.35">
      <c r="A27" s="121" t="s">
        <v>390</v>
      </c>
      <c r="B27" s="121" t="s">
        <v>535</v>
      </c>
      <c r="C27" s="121" t="s">
        <v>335</v>
      </c>
      <c r="D27" s="129">
        <v>6.1400000000000003E-2</v>
      </c>
      <c r="E27" s="129">
        <v>6.6600000000000006E-2</v>
      </c>
      <c r="F27" s="129">
        <v>8.4500000000000006E-2</v>
      </c>
      <c r="H27" s="121" t="s">
        <v>376</v>
      </c>
      <c r="I27" s="133">
        <v>9.798</v>
      </c>
      <c r="J27" s="133">
        <v>10.578099999999999</v>
      </c>
      <c r="K27" s="121"/>
      <c r="L27" s="121"/>
      <c r="M27" s="121"/>
      <c r="N27" s="125"/>
    </row>
    <row r="28" spans="1:14" ht="29" x14ac:dyDescent="0.35">
      <c r="A28" s="121" t="s">
        <v>390</v>
      </c>
      <c r="B28" s="121" t="s">
        <v>535</v>
      </c>
      <c r="C28" s="121" t="s">
        <v>336</v>
      </c>
      <c r="D28" s="129">
        <v>4.5499999999999999E-2</v>
      </c>
      <c r="E28" s="129">
        <v>4.82E-2</v>
      </c>
      <c r="F28" s="129">
        <v>5.8000000000000003E-2</v>
      </c>
      <c r="H28" s="121" t="s">
        <v>379</v>
      </c>
      <c r="I28" s="133">
        <v>41.233600000000003</v>
      </c>
      <c r="J28" s="133">
        <v>46.073999999999998</v>
      </c>
      <c r="K28" s="121"/>
      <c r="L28" s="125"/>
      <c r="M28" s="125"/>
      <c r="N28" s="125"/>
    </row>
    <row r="29" spans="1:14" ht="29" x14ac:dyDescent="0.35">
      <c r="A29" s="121" t="s">
        <v>390</v>
      </c>
      <c r="B29" s="121" t="s">
        <v>535</v>
      </c>
      <c r="C29" s="121" t="s">
        <v>370</v>
      </c>
      <c r="D29" s="129">
        <v>8.0500000000000002E-2</v>
      </c>
      <c r="E29" s="129">
        <v>9.6500000000000002E-2</v>
      </c>
      <c r="F29" s="129">
        <v>0.1981</v>
      </c>
      <c r="H29" s="121" t="s">
        <v>381</v>
      </c>
      <c r="I29" s="133">
        <v>1.8765000000000001</v>
      </c>
      <c r="J29" s="133">
        <v>2.1269</v>
      </c>
      <c r="K29" s="121"/>
      <c r="L29" s="125"/>
      <c r="M29" s="125"/>
      <c r="N29" s="125"/>
    </row>
    <row r="30" spans="1:14" x14ac:dyDescent="0.35">
      <c r="A30" s="121" t="s">
        <v>390</v>
      </c>
      <c r="B30" s="121" t="s">
        <v>535</v>
      </c>
      <c r="C30" s="121" t="s">
        <v>372</v>
      </c>
      <c r="D30" s="129">
        <v>9.0200000000000002E-2</v>
      </c>
      <c r="E30" s="129">
        <v>0.1091</v>
      </c>
      <c r="F30" s="129">
        <v>0.2092</v>
      </c>
      <c r="K30" s="121"/>
      <c r="L30" s="125"/>
      <c r="M30" s="125"/>
      <c r="N30" s="125"/>
    </row>
    <row r="31" spans="1:14" x14ac:dyDescent="0.35">
      <c r="A31" s="121" t="s">
        <v>390</v>
      </c>
      <c r="B31" s="121" t="s">
        <v>535</v>
      </c>
      <c r="C31" s="121" t="s">
        <v>374</v>
      </c>
      <c r="D31" s="129">
        <v>0.1215</v>
      </c>
      <c r="E31" s="129">
        <v>0.14860000000000001</v>
      </c>
      <c r="F31" s="129">
        <v>0.22270000000000001</v>
      </c>
      <c r="H31" s="136" t="s">
        <v>326</v>
      </c>
      <c r="I31" s="139" t="s">
        <v>327</v>
      </c>
      <c r="J31" s="139" t="s">
        <v>328</v>
      </c>
      <c r="K31" s="121"/>
      <c r="L31" s="125"/>
      <c r="M31" s="125"/>
      <c r="N31" s="125"/>
    </row>
    <row r="32" spans="1:14" ht="29" x14ac:dyDescent="0.35">
      <c r="A32" s="121" t="s">
        <v>390</v>
      </c>
      <c r="B32" s="121" t="s">
        <v>541</v>
      </c>
      <c r="C32" s="121" t="s">
        <v>376</v>
      </c>
      <c r="D32" s="120">
        <v>9.798</v>
      </c>
      <c r="E32" s="120">
        <v>10.578099999999999</v>
      </c>
      <c r="F32" s="129">
        <v>7.9600000000000004E-2</v>
      </c>
      <c r="H32" s="121" t="s">
        <v>477</v>
      </c>
      <c r="I32" s="134">
        <v>13655.97</v>
      </c>
      <c r="J32" s="134">
        <v>15472.64</v>
      </c>
      <c r="K32" s="121"/>
      <c r="L32" s="125"/>
      <c r="M32" s="125"/>
      <c r="N32" s="125"/>
    </row>
    <row r="33" spans="1:14" ht="29" x14ac:dyDescent="0.35">
      <c r="A33" s="121" t="s">
        <v>390</v>
      </c>
      <c r="B33" s="121" t="s">
        <v>541</v>
      </c>
      <c r="C33" s="121" t="s">
        <v>378</v>
      </c>
      <c r="D33" s="120">
        <v>764.86800000000005</v>
      </c>
      <c r="E33" s="120">
        <v>560.80899999999997</v>
      </c>
      <c r="F33" s="129">
        <v>-0.26679999999999998</v>
      </c>
      <c r="H33" s="121" t="s">
        <v>476</v>
      </c>
      <c r="I33" s="134">
        <v>12184.11</v>
      </c>
      <c r="J33" s="134">
        <v>13677.89</v>
      </c>
      <c r="K33" s="121"/>
      <c r="L33" s="125"/>
      <c r="M33" s="125"/>
      <c r="N33" s="125"/>
    </row>
    <row r="34" spans="1:14" x14ac:dyDescent="0.35">
      <c r="A34" s="121" t="s">
        <v>390</v>
      </c>
      <c r="B34" s="121" t="s">
        <v>541</v>
      </c>
      <c r="C34" s="121" t="s">
        <v>379</v>
      </c>
      <c r="D34" s="120">
        <v>41.233600000000003</v>
      </c>
      <c r="E34" s="120">
        <v>46.073999999999998</v>
      </c>
      <c r="F34" s="129">
        <v>0.1174</v>
      </c>
      <c r="K34" s="121"/>
      <c r="L34" s="121"/>
      <c r="M34" s="121"/>
      <c r="N34" s="125"/>
    </row>
    <row r="35" spans="1:14" x14ac:dyDescent="0.35">
      <c r="A35" s="121" t="s">
        <v>390</v>
      </c>
      <c r="B35" s="121" t="s">
        <v>541</v>
      </c>
      <c r="C35" s="121" t="s">
        <v>381</v>
      </c>
      <c r="D35" s="120">
        <v>1.8765000000000001</v>
      </c>
      <c r="E35" s="120">
        <v>2.1269</v>
      </c>
      <c r="F35" s="129">
        <v>0.13339999999999999</v>
      </c>
      <c r="H35" s="136" t="s">
        <v>326</v>
      </c>
      <c r="I35" s="139" t="s">
        <v>327</v>
      </c>
      <c r="J35" s="139" t="s">
        <v>328</v>
      </c>
      <c r="K35" s="121"/>
      <c r="L35" s="121"/>
      <c r="M35" s="121"/>
      <c r="N35" s="125"/>
    </row>
    <row r="36" spans="1:14" x14ac:dyDescent="0.35">
      <c r="A36" s="121" t="s">
        <v>390</v>
      </c>
      <c r="B36" s="121" t="s">
        <v>542</v>
      </c>
      <c r="C36" s="121" t="s">
        <v>382</v>
      </c>
      <c r="D36" s="120">
        <v>3.2199999999999999E-2</v>
      </c>
      <c r="E36" s="120">
        <v>4.7300000000000002E-2</v>
      </c>
      <c r="F36" s="129">
        <v>0.46750000000000003</v>
      </c>
      <c r="H36" s="121" t="s">
        <v>370</v>
      </c>
      <c r="I36" s="135">
        <v>8.0500000000000002E-2</v>
      </c>
      <c r="J36" s="135">
        <v>9.6500000000000002E-2</v>
      </c>
      <c r="K36" s="121"/>
      <c r="L36" s="121"/>
      <c r="M36" s="121"/>
      <c r="N36" s="125"/>
    </row>
    <row r="37" spans="1:14" x14ac:dyDescent="0.35">
      <c r="A37" s="121" t="s">
        <v>390</v>
      </c>
      <c r="B37" s="121" t="s">
        <v>542</v>
      </c>
      <c r="C37" s="121" t="s">
        <v>384</v>
      </c>
      <c r="D37" s="120">
        <v>36.616999999999997</v>
      </c>
      <c r="E37" s="120">
        <v>39.374000000000002</v>
      </c>
      <c r="F37" s="129">
        <v>7.5300000000000006E-2</v>
      </c>
      <c r="H37" s="121" t="s">
        <v>372</v>
      </c>
      <c r="I37" s="135">
        <v>9.0200000000000002E-2</v>
      </c>
      <c r="J37" s="135">
        <v>0.1091</v>
      </c>
      <c r="K37" s="121"/>
      <c r="L37" s="121"/>
      <c r="M37" s="121"/>
      <c r="N37" s="125"/>
    </row>
    <row r="38" spans="1:14" x14ac:dyDescent="0.35">
      <c r="H38" s="121" t="s">
        <v>374</v>
      </c>
      <c r="I38" s="135">
        <v>0.1215</v>
      </c>
      <c r="J38" s="135">
        <v>0.14860000000000001</v>
      </c>
      <c r="K38" s="121"/>
      <c r="L38" s="121"/>
      <c r="M38" s="121"/>
      <c r="N38" s="125"/>
    </row>
    <row r="39" spans="1:14" x14ac:dyDescent="0.35">
      <c r="K39" s="121"/>
      <c r="L39" s="121"/>
      <c r="M39" s="121"/>
      <c r="N39" s="12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581F5-F4CB-4E2D-9E63-05AF5DE56C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Project Overview</vt:lpstr>
      <vt:lpstr>Balance Sheet</vt:lpstr>
      <vt:lpstr>Profit and loss account </vt:lpstr>
      <vt:lpstr>Cash flow statement </vt:lpstr>
      <vt:lpstr>Revenue &amp; Profitability</vt:lpstr>
      <vt:lpstr>Balance Sheet Analysis</vt:lpstr>
      <vt:lpstr>Cash Flow Analysis</vt:lpstr>
      <vt:lpstr>Working Capital Analysis</vt:lpstr>
      <vt:lpstr>Ratio Analysis</vt:lpstr>
      <vt:lpstr>Dashboard </vt:lpstr>
      <vt:lpstr>Dashboard Data Engine </vt:lpstr>
      <vt:lpstr>'Balance Sheet'!Print_Area</vt:lpstr>
      <vt:lpstr>'Balance Sheet Analysis'!Print_Area</vt:lpstr>
      <vt:lpstr>'Cash Flow Analysis'!Print_Area</vt:lpstr>
      <vt:lpstr>'Cash flow statement '!Print_Area</vt:lpstr>
      <vt:lpstr>'Dashboard '!Print_Area</vt:lpstr>
      <vt:lpstr>'Profit and loss account '!Print_Area</vt:lpstr>
      <vt:lpstr>'Project Overview'!Print_Area</vt:lpstr>
      <vt:lpstr>'Ratio Analysis'!Print_Area</vt:lpstr>
      <vt:lpstr>'Revenue &amp; Profitability'!Print_Area</vt:lpstr>
      <vt:lpstr>'Working Capital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JAGTAP</dc:creator>
  <cp:lastModifiedBy>AYUSH JAGTAP</cp:lastModifiedBy>
  <cp:lastPrinted>2026-10-11T09:14:18Z</cp:lastPrinted>
  <dcterms:created xsi:type="dcterms:W3CDTF">2026-09-10T08:52:56Z</dcterms:created>
  <dcterms:modified xsi:type="dcterms:W3CDTF">2026-10-11T09:25:08Z</dcterms:modified>
</cp:coreProperties>
</file>